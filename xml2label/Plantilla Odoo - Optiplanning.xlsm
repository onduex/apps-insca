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s-projects\apps-insca\xml2label\"/>
    </mc:Choice>
  </mc:AlternateContent>
  <xr:revisionPtr revIDLastSave="0" documentId="13_ncr:1_{B4F3378C-0B67-4727-8F18-038C4202FBAA}" xr6:coauthVersionLast="47" xr6:coauthVersionMax="47" xr10:uidLastSave="{00000000-0000-0000-0000-000000000000}"/>
  <bookViews>
    <workbookView xWindow="-120" yWindow="-120" windowWidth="29040" windowHeight="15720" tabRatio="904" firstSheet="1" activeTab="1" xr2:uid="{0F93CBA7-EE41-4DB4-99D7-C1916415D895}"/>
  </bookViews>
  <sheets>
    <sheet name="06064554" sheetId="163" r:id="rId1"/>
    <sheet name="SQL ODOO" sheetId="72" r:id="rId2"/>
    <sheet name="QUERY" sheetId="124" state="hidden" r:id="rId3"/>
    <sheet name="Relación de códigos" sheetId="5" r:id="rId4"/>
  </sheets>
  <definedNames>
    <definedName name="_xlnm._FilterDatabase" localSheetId="3" hidden="1">'Relación de códigos'!$A$1:$C$1</definedName>
    <definedName name="Consulta_desde_OdooV13test" localSheetId="1" hidden="1">'SQL ODOO'!$A$5:$O$8</definedName>
    <definedName name="Consulta1" localSheetId="2" hidden="1">QUERY!$A$1:$C$179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" i="72" l="1"/>
  <c r="P7" i="72"/>
  <c r="P8" i="72"/>
  <c r="Q6" i="72"/>
  <c r="Q7" i="72"/>
  <c r="Q8" i="7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3ED92BC-6411-439F-A216-0A484EFF43FD}" keepAlive="1" name="Consulta - ODBC (dsn=OdooV13pre)" description="Conexión a la consulta 'ODBC (dsn=OdooV13pre)' en el libro." type="5" refreshedVersion="0" background="1">
    <dbPr connection="Provider=Microsoft.Mashup.OleDb.1;Data Source=$Workbook$;Location=&quot;ODBC (dsn=OdooV13pre)&quot;;Extended Properties=&quot;&quot;" command="SELECT * FROM [ODBC (dsn=OdooV13pre)]"/>
  </connection>
  <connection id="2" xr16:uid="{7013C402-6B57-4AAC-B560-51EC5926961F}" name="Consulta desde OdooV13 - PREProducción" type="1" refreshedVersion="8" background="1" saveData="1">
    <dbPr connection="DSN=OdooV13test;DATABASE=preproduccion;SERVER=172.31.30.244;PORT=5432;UID=insca;SSLmode=disable;ReadOnly=0;Protocol=7.4;FakeOidIndex=0;ShowOidColumn=0;RowVersioning=0;ShowSystemTables=0;ConnSettings=;Fetch=100;Socket=4096;UnknownSizes=0;MaxVarcharSize=255;MaxLongVarcharSize=8190;Debug=0;CommLog=0;Optimizer=0;Ksqo=1;UseDeclareFetch=0;TextAsLongVarchar=1;UnknownsAsLongVarchar=0;BoolsAsChar=1;Parse=0;CancelAsFreeStmt=0;ExtraSysTablePrefixes=dd_;LFConversion=1;UpdatableCursors=1;DisallowPremature=0;TrueIsMinus1=0;BI=0;ByteaAsLongVarBinary=0;UseServerSidePrepare=1;LowerCaseIdentifier=0;GssAuthUseGSS=0;XaOpt=1" command="SELECT (((mrp_production.product_qty))-(mrp_workorder.qty_produced)) AS cant_x000d__x000a_, product_template.vault_material_name AS material_x000d__x000a_, product_template.vault_length_cut AS largo_x000d__x000a_, product_template.vault_width_cut AS ancho_x000d__x000a_, mrp_production.name AS ot_x000d__x000a_, product_product.default_code AS codigo_x000d__x000a_, product_template.name AS descrip_x000d__x000a_, mrp_production.origin AS origen_x000d__x000a_, product_template.vault_thinkness AS espesor_x000d__x000a_, product_template.vault_route AS ruta_x000d__x000a_, mrp_workcenter.name AS ct_x000d__x000a_, product_template.product_veta AS veta_x000d__x000a_, res_partner.name AS cliente_x000d__x000a_, sale_order.name AS pedido_x000d__x000a_, mrp_production.weekyear AS semana_x000d__x000a_FROM (((((mrp_workorder INNER JOIN product_product ON mrp_workorder.product_id = product_product.id) INNER JOIN product_template ON product_product.product_tmpl_id = product_template.id) INNER JOIN mrp_workcenter ON mrp_workorder.workcenter_id = mrp_workcenter.id) INNER JOIN mrp_production ON mrp_workorder.production_id = mrp_production.id) INNER JOIN sale_order ON mrp_workorder.sale_id = sale_order.id) INNER JOIN res_partner ON mrp_workorder.partner_id = res_partner.id_x000d__x000a_WHERE ((mrp_workorder.optiplan)='1') and ((mrp_workorder.state)='progress' or (mrp_workorder.state)='ready');"/>
  </connection>
  <connection id="3" xr16:uid="{0704B4A6-71E3-4F95-9132-53E82FEBEF6A}" name="Consulta1" type="1" refreshedVersion="8" background="1" saveData="1">
    <dbPr connection="DSN=OdooV13pre;DATABASE=preproduccion;SERVER=172.31.30.244;PORT=5432;UID=insca;SSLmode=disable;ReadOnly=0;Protocol=7.4;FakeOidIndex=0;ShowOidColumn=0;RowVersioning=0;ShowSystemTables=0;ConnSettings=;Fetch=100;Socket=4096;UnknownSizes=0;MaxVarcharSize=255;MaxLongVarcharSize=8190;Debug=0;CommLog=0;Optimizer=0;Ksqo=1;UseDeclareFetch=0;TextAsLongVarchar=1;UnknownsAsLongVarchar=0;BoolsAsChar=1;Parse=0;CancelAsFreeStmt=0;ExtraSysTablePrefixes=dd_;LFConversion=1;UpdatableCursors=1;DisallowPremature=0;TrueIsMinus1=0;BI=0;ByteaAsLongVarBinary=0;UseServerSidePrepare=1;LowerCaseIdentifier=0;GssAuthUseGSS=0;XaOpt=1" command="SELECT mrp_production.name_x000d__x000a_, product_product.default_code_x000d__x000a_, product_template.name AS DESCRIP_x000d__x000a_FROM (mrp_production INNER JOIN product_product ON mrp_production.product_id = product_product.id) INNER JOIN product_template ON product_product.product_tmpl_id = product_template.id_x000d__x000a_WHERE (((product_product.default_code)&lt;&gt;''))_x000d__x000a_order by mrp_production.name ASC;"/>
  </connection>
  <connection id="4" xr16:uid="{F1E5DDC2-8DB8-42F4-B774-B732A7A4E2DD}" name="prueba_MDF-16_DEF - WN600 - 3 restos" type="4" refreshedVersion="0" deleted="1" background="1">
    <webPr xml="1" sourceData="1" url="C:\Biesse\OptiPlanning\XmlJob\prueba_MDF-16_DEF - WN600 - 3 restos.xml" htmlTables="1" htmlFormat="all"/>
  </connection>
</connections>
</file>

<file path=xl/sharedStrings.xml><?xml version="1.0" encoding="utf-8"?>
<sst xmlns="http://schemas.openxmlformats.org/spreadsheetml/2006/main" count="642" uniqueCount="378">
  <si>
    <t>Código</t>
  </si>
  <si>
    <t>Concat</t>
  </si>
  <si>
    <t>Número</t>
  </si>
  <si>
    <t>ot</t>
  </si>
  <si>
    <t>origen</t>
  </si>
  <si>
    <t>cant</t>
  </si>
  <si>
    <t>material</t>
  </si>
  <si>
    <t>codigo</t>
  </si>
  <si>
    <t>largo</t>
  </si>
  <si>
    <t>ancho</t>
  </si>
  <si>
    <t>espesor</t>
  </si>
  <si>
    <t>ruta</t>
  </si>
  <si>
    <t>ct</t>
  </si>
  <si>
    <t>veta</t>
  </si>
  <si>
    <t>descrip</t>
  </si>
  <si>
    <t>RT.1000000</t>
  </si>
  <si>
    <t>788x308xMPRIMA / MADERA/DM CRUDO #16MM</t>
  </si>
  <si>
    <t>RT.1000001</t>
  </si>
  <si>
    <t>2440x308xMPRIMA / MADERA/DM CRUDO #16MM</t>
  </si>
  <si>
    <t>RT.1000002</t>
  </si>
  <si>
    <t>2440x397xMPRIMA / MADERA/DM CRUDO #16MM</t>
  </si>
  <si>
    <t>RT.1000003</t>
  </si>
  <si>
    <t>646x788xMPRIMA / MADERA/DM CRUDO #16MM</t>
  </si>
  <si>
    <t>RT.1000004</t>
  </si>
  <si>
    <t>RT.1000005</t>
  </si>
  <si>
    <t>RT.1000006</t>
  </si>
  <si>
    <t>1788x308xMPRIMA / MADERA/DM CRUDO #16MM</t>
  </si>
  <si>
    <t>500x435xMPRIMA / MADERA/DM CRUDO #16MM</t>
  </si>
  <si>
    <t>750x385xMPRIMA / MADERA/DM CRUDO #16MM</t>
  </si>
  <si>
    <t>500x565xMPRIMA / MADERA/DM CRUDO #16MM</t>
  </si>
  <si>
    <t>RT.1000007</t>
  </si>
  <si>
    <t>877x397xMPRIMA / MADERA/DM CRUDO #16MM</t>
  </si>
  <si>
    <t>RT.1000008</t>
  </si>
  <si>
    <t>500x585xMPRIMA / MADERA/DM CRUDO #16MM</t>
  </si>
  <si>
    <t>RT.1000009</t>
  </si>
  <si>
    <t>Nombre lista</t>
  </si>
  <si>
    <t>1959x2070xMPRIMA / MADERA/DM CRUDO 019mm</t>
  </si>
  <si>
    <t>RT.1000010</t>
  </si>
  <si>
    <t>A10.018448.ACWZYY</t>
  </si>
  <si>
    <t>MEL AG PLATA SOFT 016mm</t>
  </si>
  <si>
    <t>A10.018446.ACWZYY</t>
  </si>
  <si>
    <t>A10.019780.ACWZYY</t>
  </si>
  <si>
    <t>cliente</t>
  </si>
  <si>
    <t>pedido</t>
  </si>
  <si>
    <t>A10.018444.ACWZYY</t>
  </si>
  <si>
    <t>2063x466xMPRIMA / MADERA/MEL AG PLATA SOFT 016mm</t>
  </si>
  <si>
    <t>RT.1000011</t>
  </si>
  <si>
    <t>2300x867xMPRIMA / MADERA/MEL AG PLATA SOFT 016mm</t>
  </si>
  <si>
    <t>RT.1000012</t>
  </si>
  <si>
    <t>OP/00161</t>
  </si>
  <si>
    <t>COR 2,073.0x0120.0x016.0mm</t>
  </si>
  <si>
    <t>OP/00157</t>
  </si>
  <si>
    <t>16</t>
  </si>
  <si>
    <t>SEC-CHA-PTG</t>
  </si>
  <si>
    <t>SECCIONADORA</t>
  </si>
  <si>
    <t>0</t>
  </si>
  <si>
    <t>2175</t>
  </si>
  <si>
    <t>1003.5</t>
  </si>
  <si>
    <t>OP/00159</t>
  </si>
  <si>
    <t>PZA 2,165.0x0993.5x016.0mm</t>
  </si>
  <si>
    <t>2063</t>
  </si>
  <si>
    <t>310</t>
  </si>
  <si>
    <t>OP/00160</t>
  </si>
  <si>
    <t>PTF 2,053.0x0300.0x016.0mm</t>
  </si>
  <si>
    <t>2072</t>
  </si>
  <si>
    <t>95</t>
  </si>
  <si>
    <t>OP/00158</t>
  </si>
  <si>
    <t>COR 2,062.0x0085.0x016.0mm</t>
  </si>
  <si>
    <t>SEC-CHA</t>
  </si>
  <si>
    <t>name</t>
  </si>
  <si>
    <t>semana</t>
  </si>
  <si>
    <t>default_code</t>
  </si>
  <si>
    <t>OP/00156</t>
  </si>
  <si>
    <t>A00.100033.ZZZ001</t>
  </si>
  <si>
    <t>BANCO DE TRABAJO L3720</t>
  </si>
  <si>
    <t>OT/00010</t>
  </si>
  <si>
    <t>A00.008626.ZZZ025</t>
  </si>
  <si>
    <t>FOSTER</t>
  </si>
  <si>
    <t>OP/00149</t>
  </si>
  <si>
    <t>A00.007210.CTI001</t>
  </si>
  <si>
    <t>PDISPLAYS 536 - PORCELANICO 6+1 L060</t>
  </si>
  <si>
    <t>OP/00150</t>
  </si>
  <si>
    <t>A00.100077.ZZZ006</t>
  </si>
  <si>
    <t>BRENDEL 90</t>
  </si>
  <si>
    <t>OP/00152</t>
  </si>
  <si>
    <t>OP/00153</t>
  </si>
  <si>
    <t>OP/00154</t>
  </si>
  <si>
    <t>OP/00155</t>
  </si>
  <si>
    <t>OT/00009</t>
  </si>
  <si>
    <t>A00.009282.ZZZ002</t>
  </si>
  <si>
    <t>ALBERNS</t>
  </si>
  <si>
    <t>OT/00007</t>
  </si>
  <si>
    <t>A00.009282.ZZZ001</t>
  </si>
  <si>
    <t>OP/00118</t>
  </si>
  <si>
    <t>OT/00006</t>
  </si>
  <si>
    <t>OT/00008</t>
  </si>
  <si>
    <t>OP/00010</t>
  </si>
  <si>
    <t>A00.003848.ZZZ002</t>
  </si>
  <si>
    <t>BOOK 12+2 V12 (CLICK)</t>
  </si>
  <si>
    <t>OP/00013</t>
  </si>
  <si>
    <t>A00.004360.NVB001</t>
  </si>
  <si>
    <t>BOOK 20 V12 (ST)</t>
  </si>
  <si>
    <t>OP/00147</t>
  </si>
  <si>
    <t>A00.009116.TAU001</t>
  </si>
  <si>
    <t>COLORADO 05P DOUBLE FACE 120X060</t>
  </si>
  <si>
    <t>OP/00151</t>
  </si>
  <si>
    <t>A00.004052.TAU001</t>
  </si>
  <si>
    <t>LONDRES 10/100 V12</t>
  </si>
  <si>
    <t>OP/00162</t>
  </si>
  <si>
    <t>A50.000500.001233</t>
  </si>
  <si>
    <t>FOCO DOWNLIGHT LED 30W BLANCO</t>
  </si>
  <si>
    <t>OP/00006</t>
  </si>
  <si>
    <t>A00.004036.TAU003</t>
  </si>
  <si>
    <t>BOOK 124/100 V12</t>
  </si>
  <si>
    <t>OT/00011</t>
  </si>
  <si>
    <t>OP/00004</t>
  </si>
  <si>
    <t>A00.004036.TAU006</t>
  </si>
  <si>
    <t>WH/SBC/00031</t>
  </si>
  <si>
    <t>A31.009430.BBAZSZ</t>
  </si>
  <si>
    <t>SPH 1935x0078x0028mm</t>
  </si>
  <si>
    <t>WH/SBC/00032</t>
  </si>
  <si>
    <t>A31.100111.BBAZSZ</t>
  </si>
  <si>
    <t>MCH 1992x1055.2x0105.5mm</t>
  </si>
  <si>
    <t>OP/00114</t>
  </si>
  <si>
    <t>A00.004036.PAV003</t>
  </si>
  <si>
    <t>OP/00014</t>
  </si>
  <si>
    <t>OP/00015</t>
  </si>
  <si>
    <t>OP/00016</t>
  </si>
  <si>
    <t>OP/00017</t>
  </si>
  <si>
    <t>OP/00009</t>
  </si>
  <si>
    <t>A00.009231.PAM001</t>
  </si>
  <si>
    <t>BOOK 114/100 V12</t>
  </si>
  <si>
    <t>OP/00100</t>
  </si>
  <si>
    <t>A00.009506.TAU001</t>
  </si>
  <si>
    <t>PDISPLAYS 748 - OTAWA DX 5+1</t>
  </si>
  <si>
    <t>OP/00047</t>
  </si>
  <si>
    <t>OP/00049</t>
  </si>
  <si>
    <t>WH/SBC/00021</t>
  </si>
  <si>
    <t>WH/SBC/00022</t>
  </si>
  <si>
    <t>WH/SBC/00023</t>
  </si>
  <si>
    <t>A31.014121.BBAZRH</t>
  </si>
  <si>
    <t>SPH 0660x0645x0035mm</t>
  </si>
  <si>
    <t>WH/SBC/00024</t>
  </si>
  <si>
    <t>A31.014117.BBAZRH</t>
  </si>
  <si>
    <t>MCH 0870x0745x0070mm</t>
  </si>
  <si>
    <t>WH/SBC/00025</t>
  </si>
  <si>
    <t>A31.020744.BBAZRH</t>
  </si>
  <si>
    <t>SPH 0807x0662x0430mm</t>
  </si>
  <si>
    <t>WH/SBC/00016</t>
  </si>
  <si>
    <t>A30.100351.BBAZSZ</t>
  </si>
  <si>
    <t>MZO 037.0xØ010.0mm</t>
  </si>
  <si>
    <t>WH/SBC/00017</t>
  </si>
  <si>
    <t>A31.010190.BBAZSZ</t>
  </si>
  <si>
    <t>BSH 1990x0162x0130.8mm</t>
  </si>
  <si>
    <t>WH/SBC/00018</t>
  </si>
  <si>
    <t>A31.010188.BBAZSZ</t>
  </si>
  <si>
    <t>LTH 2263x1040x0055mm</t>
  </si>
  <si>
    <t>WH/SBC/00019</t>
  </si>
  <si>
    <t>A31.010189.BBAZSZ</t>
  </si>
  <si>
    <t>TCH 1990x0081.5x0080mm</t>
  </si>
  <si>
    <t>WH/SBC/00020</t>
  </si>
  <si>
    <t>A31.010187.BBAZSZ</t>
  </si>
  <si>
    <t>OP/00030</t>
  </si>
  <si>
    <t>OP/00024</t>
  </si>
  <si>
    <t>A00.004036.ZZZ001</t>
  </si>
  <si>
    <t>OP/00164</t>
  </si>
  <si>
    <t>A00.009116.ZZZ001</t>
  </si>
  <si>
    <t>OP/00025</t>
  </si>
  <si>
    <t>OP/00104</t>
  </si>
  <si>
    <t>A00.100042.ZZZ003</t>
  </si>
  <si>
    <t>MURAL CREMALLERA 2100 VENTANAS TRASERAS</t>
  </si>
  <si>
    <t>OP/00091</t>
  </si>
  <si>
    <t>A00.003993.ZZZ001</t>
  </si>
  <si>
    <t>BOOK FUSSION 24+2</t>
  </si>
  <si>
    <t>OP/00050</t>
  </si>
  <si>
    <t>WH/SBC/00029</t>
  </si>
  <si>
    <t>WH/SBC/00030</t>
  </si>
  <si>
    <t>WH/SBC/00026</t>
  </si>
  <si>
    <t>WH/SBC/00027</t>
  </si>
  <si>
    <t>WH/SBC/00028</t>
  </si>
  <si>
    <t>OP/00163</t>
  </si>
  <si>
    <t>OP/00001</t>
  </si>
  <si>
    <t>A00.003848.ZZZ001</t>
  </si>
  <si>
    <t>OP/00002</t>
  </si>
  <si>
    <t>OP/00012</t>
  </si>
  <si>
    <t>OP/00008</t>
  </si>
  <si>
    <t>OP/00007</t>
  </si>
  <si>
    <t>OP/00145</t>
  </si>
  <si>
    <t>OP/00095</t>
  </si>
  <si>
    <t>OP/00003</t>
  </si>
  <si>
    <t>OP/00005</t>
  </si>
  <si>
    <t>OP/00011</t>
  </si>
  <si>
    <t>OP/00019</t>
  </si>
  <si>
    <t>OP/00146</t>
  </si>
  <si>
    <t>OP/00026</t>
  </si>
  <si>
    <t>OP/00048</t>
  </si>
  <si>
    <t>OP/00032</t>
  </si>
  <si>
    <t>OP/00027</t>
  </si>
  <si>
    <t>OP/00054</t>
  </si>
  <si>
    <t>OP/00052</t>
  </si>
  <si>
    <t>OP/00046</t>
  </si>
  <si>
    <t>OP/00078</t>
  </si>
  <si>
    <t>OP/00086</t>
  </si>
  <si>
    <t>A00.006047.ZZZ001</t>
  </si>
  <si>
    <t>LONDRES 20/120 V12 (AG 2400) A2600</t>
  </si>
  <si>
    <t>OP/00080</t>
  </si>
  <si>
    <t>OP/00034</t>
  </si>
  <si>
    <t>OP/00029</t>
  </si>
  <si>
    <t>OP/00028</t>
  </si>
  <si>
    <t>OP/00018</t>
  </si>
  <si>
    <t>OP/00033</t>
  </si>
  <si>
    <t>A00.006471.PAM001</t>
  </si>
  <si>
    <t>OP/00106</t>
  </si>
  <si>
    <t>A00.006471.PAM002</t>
  </si>
  <si>
    <t>OP/00092</t>
  </si>
  <si>
    <t>OP/00021</t>
  </si>
  <si>
    <t>OP/00051</t>
  </si>
  <si>
    <t>OP/00053</t>
  </si>
  <si>
    <t>OP/00020</t>
  </si>
  <si>
    <t>OP/00022</t>
  </si>
  <si>
    <t>OP/00023</t>
  </si>
  <si>
    <t>OP/00069</t>
  </si>
  <si>
    <t>A10.018260.AACZZX</t>
  </si>
  <si>
    <t>TRA 2,600.0x1,100.0x030.0mm</t>
  </si>
  <si>
    <t>OP/00093</t>
  </si>
  <si>
    <t>OP/00096</t>
  </si>
  <si>
    <t>OP/00097</t>
  </si>
  <si>
    <t>OP/00031</t>
  </si>
  <si>
    <t>OP/00105</t>
  </si>
  <si>
    <t>OP/00102</t>
  </si>
  <si>
    <t>OP/00103</t>
  </si>
  <si>
    <t>A00.100043.ZZZ001</t>
  </si>
  <si>
    <t>DOT MURAL - PICHO BARRA DE FUERZA L0300</t>
  </si>
  <si>
    <t>OP/00088</t>
  </si>
  <si>
    <t>OP/00081</t>
  </si>
  <si>
    <t>A10.018261.AACZZX</t>
  </si>
  <si>
    <t>COR 1,100.0x0060.0x019.0mm</t>
  </si>
  <si>
    <t>OP/00087</t>
  </si>
  <si>
    <t>OP/00084</t>
  </si>
  <si>
    <t>A10.018256.AACZZX</t>
  </si>
  <si>
    <t>LAT 2,600.0x1,360.0x030.0mm</t>
  </si>
  <si>
    <t>OP/00076</t>
  </si>
  <si>
    <t>A10.018519.AACZZV</t>
  </si>
  <si>
    <t>TCM 1,255.0x1,095.0x019.0mm</t>
  </si>
  <si>
    <t>OP/00083</t>
  </si>
  <si>
    <t>OP/00089</t>
  </si>
  <si>
    <t>OP/00071</t>
  </si>
  <si>
    <t>OP/00072</t>
  </si>
  <si>
    <t>OP/00144</t>
  </si>
  <si>
    <t>A10.053040.AACZZX</t>
  </si>
  <si>
    <t>TRA 2,158.0x1,150.0x030.0mm</t>
  </si>
  <si>
    <t>OP/00148</t>
  </si>
  <si>
    <t>A10.039123.AGY000</t>
  </si>
  <si>
    <t>PZA PET 0420.0x0070.0x010.0mm</t>
  </si>
  <si>
    <t>OP/00082</t>
  </si>
  <si>
    <t>OP/00090</t>
  </si>
  <si>
    <t>OP/00117</t>
  </si>
  <si>
    <t>OP/00116</t>
  </si>
  <si>
    <t>OP/00115</t>
  </si>
  <si>
    <t>OP/00111</t>
  </si>
  <si>
    <t>A10.200186.AAM000</t>
  </si>
  <si>
    <t>AG 1,924.0x1,005.0x014.0mm</t>
  </si>
  <si>
    <t>OP/00110</t>
  </si>
  <si>
    <t>A10.034183.AGY000</t>
  </si>
  <si>
    <t>PZA PET 1,379.0x0105.0x020.0mm</t>
  </si>
  <si>
    <t>OP/00099</t>
  </si>
  <si>
    <t>OP/00056</t>
  </si>
  <si>
    <t>OP/00055</t>
  </si>
  <si>
    <t>A00.100042.ZZZ001</t>
  </si>
  <si>
    <t>WH/SBC/00005</t>
  </si>
  <si>
    <t>A31.011487.BBBZRH</t>
  </si>
  <si>
    <t>SPH 1310.5x1100.0x0055.0mm</t>
  </si>
  <si>
    <t>WH/SBC/00011</t>
  </si>
  <si>
    <t>A30.045998.BBAZRH</t>
  </si>
  <si>
    <t>CPF 1,947.0x0082.8x01.5mm</t>
  </si>
  <si>
    <t>WH/SBC/00010</t>
  </si>
  <si>
    <t>A31.012225.BBAZRH</t>
  </si>
  <si>
    <t>MCH 2008x1125x0035mm</t>
  </si>
  <si>
    <t>WH/SBC/00012</t>
  </si>
  <si>
    <t>A30.045999.BBAZRH</t>
  </si>
  <si>
    <t>CPF 0983.0x0082.8x01.5mm</t>
  </si>
  <si>
    <t>WH/SBC/00013</t>
  </si>
  <si>
    <t>A30.045996.BBAZRH</t>
  </si>
  <si>
    <t>CPF 0983.0x0116.8x01.5mm</t>
  </si>
  <si>
    <t>WH/SBC/00014</t>
  </si>
  <si>
    <t>A31.013237.BBAZRH</t>
  </si>
  <si>
    <t>SPH 2169x1658.3x0500mm</t>
  </si>
  <si>
    <t>WH/SBC/00015</t>
  </si>
  <si>
    <t>A30.029981.BBAZRH</t>
  </si>
  <si>
    <t>CPF 1,933.0x0083.6x01.5mm</t>
  </si>
  <si>
    <t>WH/SBC/00009</t>
  </si>
  <si>
    <t>A31.010222.BBBZRH</t>
  </si>
  <si>
    <t>SPH 1136.0x1311.0x0097.0mm</t>
  </si>
  <si>
    <t>WH/SBC/00002</t>
  </si>
  <si>
    <t>A31.013299.BBAZRH</t>
  </si>
  <si>
    <t>SPH 0078.0x1326.0x2513.0mm</t>
  </si>
  <si>
    <t>WH/SBC/00003</t>
  </si>
  <si>
    <t>A31.010345.BBBZRH</t>
  </si>
  <si>
    <t>SPH 2513.0x0078.0x0028.0mm</t>
  </si>
  <si>
    <t>WH/SBC/00001</t>
  </si>
  <si>
    <t>WH/SBC/00004</t>
  </si>
  <si>
    <t>WH/SBC/00006</t>
  </si>
  <si>
    <t>WH/SBC/00007</t>
  </si>
  <si>
    <t>WH/SBC/00008</t>
  </si>
  <si>
    <t>OP/00109</t>
  </si>
  <si>
    <t>OP/00108</t>
  </si>
  <si>
    <t>A00.004052.FOI001</t>
  </si>
  <si>
    <t>OP/00094</t>
  </si>
  <si>
    <t>A00.006913.PAM002</t>
  </si>
  <si>
    <t>LONDRES 16/100 V12</t>
  </si>
  <si>
    <t>OP/00140</t>
  </si>
  <si>
    <t>00.002725.ZZZ005</t>
  </si>
  <si>
    <t>RHIN 92 V12 INCLI (12;0920X0920)</t>
  </si>
  <si>
    <t>OP/00139</t>
  </si>
  <si>
    <t>00.002725.ZZZ003</t>
  </si>
  <si>
    <t>OP/00143</t>
  </si>
  <si>
    <t>OT/00002</t>
  </si>
  <si>
    <t>A00.009282.ZZZ003</t>
  </si>
  <si>
    <t>OT/00005</t>
  </si>
  <si>
    <t>A00.008742.ZZZ015</t>
  </si>
  <si>
    <t>HOFFMAN</t>
  </si>
  <si>
    <t>OT/00004</t>
  </si>
  <si>
    <t>OP/00142</t>
  </si>
  <si>
    <t>OT/00001</t>
  </si>
  <si>
    <t>OT/00003</t>
  </si>
  <si>
    <t>OP/00079</t>
  </si>
  <si>
    <t>00.002725.ZZZ001</t>
  </si>
  <si>
    <t>OP/00101</t>
  </si>
  <si>
    <t>A00.100026.ZZZ001</t>
  </si>
  <si>
    <t>PANEL 1800.0X0900.0X0013.0</t>
  </si>
  <si>
    <t>OP/00098</t>
  </si>
  <si>
    <t>OP/00119</t>
  </si>
  <si>
    <t>OP/00107</t>
  </si>
  <si>
    <t>A00.006020.PAM004</t>
  </si>
  <si>
    <t>OPEN EKO 18+2</t>
  </si>
  <si>
    <t>mueble</t>
  </si>
  <si>
    <t>descrip mueble</t>
  </si>
  <si>
    <t>Inretail/SBC/00013</t>
  </si>
  <si>
    <t>A31.021262.BBAZNZ</t>
  </si>
  <si>
    <t>ESH 0703x0500x0300mm</t>
  </si>
  <si>
    <t>Inretail/SBC/00014</t>
  </si>
  <si>
    <t>A31.021264.BBAZNZ</t>
  </si>
  <si>
    <t>ESH 0603x0400x0300mm</t>
  </si>
  <si>
    <t>Inretail/SBC/00015</t>
  </si>
  <si>
    <t>A31.021265.BBAZNZ</t>
  </si>
  <si>
    <t>ESH 0500x0300x0300mm</t>
  </si>
  <si>
    <t>Inretail/SBC/00016</t>
  </si>
  <si>
    <t>A31.021265.BBAZLW</t>
  </si>
  <si>
    <t>Inretail/SBC/00017</t>
  </si>
  <si>
    <t>A31.021262.BBAZLW</t>
  </si>
  <si>
    <t>Inretail/SBC/00018</t>
  </si>
  <si>
    <t>A31.021264.BBAZLW</t>
  </si>
  <si>
    <t>OT/00015</t>
  </si>
  <si>
    <t>WH/SBC/00033</t>
  </si>
  <si>
    <t>WH/SBC/00034</t>
  </si>
  <si>
    <t>WH/SBC/00035</t>
  </si>
  <si>
    <t>WH/SBC/00036</t>
  </si>
  <si>
    <t>WH/SBC/00037</t>
  </si>
  <si>
    <t>WH/SBC/00038</t>
  </si>
  <si>
    <t>WH/SBC/00039</t>
  </si>
  <si>
    <t>rpatinyo</t>
  </si>
  <si>
    <t>OP/00168</t>
  </si>
  <si>
    <t>OP/00165</t>
  </si>
  <si>
    <t>ARGENTA CERAMICA,S.L.</t>
  </si>
  <si>
    <t>N23000043</t>
  </si>
  <si>
    <t>2306</t>
  </si>
  <si>
    <t>OP/00166</t>
  </si>
  <si>
    <t>OP/00167</t>
  </si>
  <si>
    <t>OP/00169</t>
  </si>
  <si>
    <t>OP/00170</t>
  </si>
  <si>
    <t>OT/00016</t>
  </si>
  <si>
    <t>OT/00017</t>
  </si>
  <si>
    <t>W24</t>
  </si>
  <si>
    <t>06064554</t>
  </si>
  <si>
    <t>OC/23/06064554</t>
  </si>
  <si>
    <t>W24.opjx</t>
  </si>
  <si>
    <t>W24.txt</t>
  </si>
  <si>
    <t>06064554.bat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</si>
</sst>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rgb="FF000000"/>
      <name val="Calibri"/>
      <family val="2"/>
    </font>
    <font>
      <b/>
      <sz val="10"/>
      <color rgb="FF3366FF"/>
      <name val="Calibri"/>
      <family val="2"/>
    </font>
    <font>
      <b/>
      <sz val="10"/>
      <color rgb="FFFF0000"/>
      <name val="Calibri"/>
      <family val="2"/>
    </font>
    <font>
      <b/>
      <sz val="9"/>
      <color rgb="FF339966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2">
    <xf numFmtId="0" fontId="0" fillId="0" borderId="0" xfId="0"/>
    <xf numFmtId="0" fontId="0" fillId="2" borderId="0" xfId="0" applyFill="1"/>
    <xf numFmtId="14" fontId="0" fillId="0" borderId="0" xfId="0" applyNumberFormat="1"/>
    <xf numFmtId="16" fontId="0" fillId="0" borderId="0" xfId="0" applyNumberFormat="1"/>
    <xf numFmtId="18" fontId="0" fillId="0" borderId="0" xfId="0" applyNumberFormat="1"/>
    <xf numFmtId="21" fontId="0" fillId="0" borderId="0" xfId="0" applyNumberFormat="1"/>
    <xf numFmtId="0" fontId="2" fillId="2" borderId="0" xfId="0" applyFont="1" applyFill="1" applyAlignment="1">
      <alignment horizontal="left" vertical="center"/>
    </xf>
    <xf numFmtId="0" fontId="4" fillId="0" borderId="0" xfId="1"/>
    <xf numFmtId="49" fontId="0" fillId="2" borderId="0" xfId="0" applyNumberFormat="1" applyFill="1"/>
    <xf numFmtId="0" fontId="2" fillId="2" borderId="0" xfId="0" applyFont="1" applyFill="1" applyAlignment="1">
      <alignment horizontal="left" vertical="center"/>
    </xf>
    <xf numFmtId="15" fontId="0" fillId="3" borderId="1" xfId="0" applyNumberForma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</cellXfs>
  <cellStyles count="2">
    <cellStyle name="Hipervínculo" xfId="1" builtinId="8"/>
    <cellStyle name="Normal" xfId="0" builtinId="0"/>
  </cellStyles>
  <dxfs count="2">
    <dxf>
      <numFmt numFmtId="0" formatCode="General"/>
    </dxf>
    <dxf>
      <numFmt numFmtId="0" formatCode="General"/>
    </dxf>
  </dxfs>
  <tableStyles count="1" defaultTableStyle="TableStyleMedium2" defaultPivotStyle="PivotStyleLight16">
    <tableStyle name="Invisible" pivot="0" table="0" count="0" xr9:uid="{65E819D7-4B3B-4513-85C3-DBD1A164F9F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CutList">
        <xsd:complexType>
          <xsd:sequence minOccurs="0">
            <xsd:element minOccurs="0" nillable="true" name="Tx" form="unqualified">
              <xsd:complexType>
                <xsd:attribute name="Date" form="unqualified" type="xsd:string"/>
              </xsd:complexType>
            </xsd:element>
            <xsd:element minOccurs="0" maxOccurs="unbounded" nillable="true" name="Part" form="unqualified">
              <xsd:complexType>
                <xsd:attribute name="id" form="unqualified" type="xsd:string"/>
                <xsd:attribute name="L" form="unqualified" type="xsd:double"/>
                <xsd:attribute name="W" form="unqualified" type="xsd:double"/>
                <xsd:attribute name="qMin" form="unqualified" type="xsd:integer"/>
                <xsd:attribute name="Code" form="unqualified" type="xsd:integer"/>
                <xsd:attribute name="MatNo" form="unqualified" type="xsd:integer"/>
                <xsd:attribute name="Desc1" form="unqualified" type="xsd:string"/>
                <xsd:attribute name="Material" form="unqualified" type="xsd:string"/>
                <xsd:attribute name="SizeNo" form="unqualified" type="xsd:integer"/>
              </xsd:complexType>
            </xsd:element>
            <xsd:element minOccurs="0" nillable="true" name="Material" form="unqualified">
              <xsd:complexType>
                <xsd:attribute name="id" form="unqualified" type="xsd:integer"/>
                <xsd:attribute name="Thickness" form="unqualified" type="xsd:double"/>
                <xsd:attribute name="Grain" form="unqualified" type="xsd:integer"/>
                <xsd:attribute name="Density" form="unqualified" type="xsd:integer"/>
                <xsd:attribute name="Cost" form="unqualified" type="xsd:double"/>
                <xsd:attribute name="Code" form="unqualified" type="xsd:string"/>
                <xsd:attribute name="Desc" form="unqualified" type="xsd:string"/>
              </xsd:complexType>
            </xsd:element>
            <xsd:element minOccurs="0" maxOccurs="unbounded" nillable="true" name="Board" form="unqualified">
              <xsd:complexType>
                <xsd:attribute name="id" form="unqualified" type="xsd:string"/>
                <xsd:attribute name="L" form="unqualified" type="xsd:double"/>
                <xsd:attribute name="W" form="unqualified" type="xsd:double"/>
                <xsd:attribute name="Type" form="unqualified" type="xsd:integer"/>
                <xsd:attribute name="BrdNo" form="unqualified" type="xsd:integer"/>
                <xsd:attribute name="MatNo" form="unqualified" type="xsd:integer"/>
                <xsd:attribute name="Thickness" form="unqualified" type="xsd:double"/>
                <xsd:attribute name="BalBrd" form="unqualified" type="xsd:string"/>
                <xsd:attribute name="Balance" form="unqualified" type="xsd:double"/>
                <xsd:attribute name="LTrim" form="unqualified" type="xsd:double"/>
                <xsd:attribute name="RTrim" form="unqualified" type="xsd:double"/>
                <xsd:attribute name="TTrim" form="unqualified" type="xsd:double"/>
                <xsd:attribute name="BTrim" form="unqualified" type="xsd:double"/>
                <xsd:attribute name="Cost" form="unqualified" type="xsd:double"/>
                <xsd:attribute name="CostMQ" form="unqualified" type="xsd:double"/>
                <xsd:attribute name="MatCode" form="unqualified" type="xsd:string"/>
                <xsd:attribute name="Grain" form="unqualified" type="xsd:integer"/>
                <xsd:attribute name="UseFirst" form="unqualified" type="xsd:integer"/>
                <xsd:attribute name="Qty" form="unqualified" type="xsd:integer"/>
                <xsd:attribute name="PercVal" form="unqualified" type="xsd:integer"/>
              </xsd:complexType>
            </xsd:element>
            <xsd:element minOccurs="0" nillable="true" name="SendOptions" form="unqualified">
              <xsd:complexType>
                <xsd:attribute name="DropL" form="unqualified" type="xsd:double"/>
                <xsd:attribute name="DropH" form="unqualified" type="xsd:double"/>
                <xsd:attribute name="TxTrim" form="unqualified" type="xsd:integer"/>
              </xsd:complexType>
            </xsd:element>
            <xsd:element minOccurs="0" nillable="true" name="Param" form="unqualified">
              <xsd:complexType>
                <xsd:sequence minOccurs="0">
                  <xsd:element minOccurs="0" nillable="true" name="OptiParam" form="unqualified">
                    <xsd:complexType>
                      <xsd:attribute name="ver" form="unqualified" type="xsd:integer"/>
                      <xsd:attribute name="TimeWeight" form="unqualified" type="xsd:integer"/>
                      <xsd:attribute name="PatternRed" form="unqualified" type="xsd:integer"/>
                      <xsd:attribute name="OverPrRed" form="unqualified" type="xsd:integer"/>
                      <xsd:attribute name="LRPen" form="unqualified" type="xsd:integer"/>
                      <xsd:attribute name="SRPen" form="unqualified" type="xsd:integer"/>
                      <xsd:attribute name="SHCPen" form="unqualified" type="xsd:integer"/>
                      <xsd:attribute name="LHCPen" form="unqualified" type="xsd:integer"/>
                      <xsd:attribute name="ZCPen" form="unqualified" type="xsd:integer"/>
                      <xsd:attribute name="TRound" form="unqualified" type="xsd:integer"/>
                      <xsd:attribute name="TBVCycle" form="unqualified" type="xsd:integer"/>
                      <xsd:attribute name="RunLevel" form="unqualified" type="xsd:integer"/>
                      <xsd:attribute name="TrigLev" form="unqualified" type="xsd:integer"/>
                      <xsd:attribute name="HCTrigLev" form="unqualified" type="xsd:integer"/>
                      <xsd:attribute name="ZCTrigLev" form="unqualified" type="xsd:integer"/>
                      <xsd:attribute name="PreProcSize" form="unqualified" type="xsd:integer"/>
                      <xsd:attribute name="SQTrigger" form="unqualified" type="xsd:integer"/>
                      <xsd:attribute name="PattOrd" form="unqualified" type="xsd:integer"/>
                      <xsd:attribute name="SawEff" form="unqualified" type="xsd:integer"/>
                      <xsd:attribute name="TimeTrigHV" form="unqualified" type="xsd:integer"/>
                      <xsd:attribute name="TimeTrigLV" form="unqualified" type="xsd:integer"/>
                      <xsd:attribute name="SQPar" form="unqualified" type="xsd:integer"/>
                      <xsd:attribute name="AlgoFlags" form="unqualified" type="xsd:integer"/>
                      <xsd:attribute name="NoAbbaPen" form="unqualified" type="xsd:integer"/>
                      <xsd:attribute name="LowDimPen" form="unqualified" type="xsd:integer"/>
                      <xsd:attribute name="LowDimPenNoRot" form="unqualified" type="xsd:integer"/>
                      <xsd:attribute name="SplitXml" form="unqualified" type="xsd:integer"/>
                      <xsd:attribute name="LowPriorityCycles" form="unqualified" type="xsd:integer"/>
                    </xsd:complexType>
                  </xsd:element>
                  <xsd:element minOccurs="0" nillable="true" name="OverParam" form="unqualified">
                    <xsd:complexType>
                      <xsd:attribute name="NumConstaints" form="unqualified" type="xsd:integer"/>
                      <xsd:attribute name="NumConstrParts" form="unqualified" type="xsd:integer"/>
                      <xsd:attribute name="NumConstrBoards" form="unqualified" type="xsd:integer"/>
                      <xsd:attribute name="NumConstrBalance" form="unqualified" type="xsd:integer"/>
                      <xsd:attribute name="DeltaSol" form="unqualified" type="xsd:integer"/>
                      <xsd:attribute name="MaxOverParts" form="unqualified" type="xsd:integer"/>
                      <xsd:attribute name="MaxOverArea" form="unqualified" type="xsd:integer"/>
                      <xsd:attribute name="MaxOverPieces" form="unqualified" type="xsd:integer"/>
                    </xsd:complexType>
                  </xsd:element>
                  <xsd:element minOccurs="0" nillable="true" name="AddParam" form="unqualified">
                    <xsd:complexType>
                      <xsd:attribute name="NoTensionStripH" form="unqualified" type="xsd:double"/>
                      <xsd:attribute name="NoTensionTrimDim" form="unqualified" type="xsd:double"/>
                      <xsd:attribute name="NoTensionOffset" form="unqualified" type="xsd:double"/>
                      <xsd:attribute name="NoTensionPieceL" form="unqualified" type="xsd:double"/>
                      <xsd:attribute name="NoTensionPieceW" form="unqualified" type="xsd:double"/>
                      <xsd:attribute name="NoTensionMinSizeFirst" form="unqualified" type="xsd:double"/>
                      <xsd:attribute name="MinLenTension" form="unqualified" type="xsd:double"/>
                      <xsd:attribute name="MinWidTension" form="unqualified" type="xsd:double"/>
                      <xsd:attribute name="SawTPar" form="unqualified" type="xsd:integer"/>
                      <xsd:attribute name="WSRtoLR" form="unqualified" type="xsd:double"/>
                      <xsd:attribute name="DownloadSawNum" form="unqualified" type="xsd:integer"/>
                      <xsd:attribute name="ParamLabelingNum" form="unqualified" type="xsd:integer"/>
                      <xsd:attribute name="DropsSawNum" form="unqualified" type="xsd:integer"/>
                      <xsd:attribute name="JobTime" form="unqualified" type="xsd:integer"/>
                      <xsd:attribute name="JobCost" form="unqualified" type="xsd:double"/>
                      <xsd:attribute name="MinDropForMsg" form="unqualified" type="xsd:double"/>
                      <xsd:attribute name="WSHCtoLHC" form="unqualified" type="xsd:double"/>
                      <xsd:attribute name="WRotPattern" form="unqualified" type="xsd:double"/>
                      <xsd:attribute name="MinDimForAbba" form="unqualified" type="xsd:double"/>
                      <xsd:attribute name="MinSizeSingleStrip" form="unqualified" type="xsd:double"/>
                      <xsd:attribute name="MaxSizeEvenStrips" form="unqualified" type="xsd:double"/>
                      <xsd:attribute name="MaxSizeEvenPiecess" form="unqualified" type="xsd:double"/>
                      <xsd:attribute name="DecreaseWidth2CrsWork" form="unqualified" type="xsd:double"/>
                    </xsd:complexType>
                  </xsd:element>
                  <xsd:element minOccurs="0" nillable="true" name="DropParam" form="unqualified">
                    <xsd:complexType>
                      <xsd:attribute name="MinLen" form="unqualified" type="xsd:double"/>
                      <xsd:attribute name="MinWid" form="unqualified" type="xsd:double"/>
                      <xsd:attribute name="MinArea" form="unqualified" type="xsd:integer"/>
                      <xsd:attribute name="ExchangeDim" form="unqualified" type="xsd:integer"/>
                      <xsd:attribute name="HCEmpty" form="unqualified" type="xsd:integer"/>
                      <xsd:attribute name="DropValue" form="unqualified" type="xsd:integer"/>
                      <xsd:attribute name="DropTrim" form="unqualified" type="xsd:integer"/>
                      <xsd:attribute name="MaxLen" form="unqualified" type="xsd:double"/>
                      <xsd:attribute name="MaxWid" form="unqualified" type="xsd:double"/>
                      <xsd:attribute name="MaxDays" form="unqualified" type="xsd:integer"/>
                      <xsd:attribute name="Min1stLen" form="unqualified" type="xsd:double"/>
                      <xsd:attribute name="Min1stWid" form="unqualified" type="xsd:double"/>
                      <xsd:attribute name="Min1stThk" form="unqualified" type="xsd:double"/>
                      <xsd:attribute name="Min2ndLen" form="unqualified" type="xsd:double"/>
                      <xsd:attribute name="Min2ndWid" form="unqualified" type="xsd:double"/>
                      <xsd:attribute name="MinDimDropBack" form="unqualified" type="xsd:double"/>
                      <xsd:attribute name="NoRotBackLoad" form="unqualified" type="xsd:integer"/>
                      <xsd:attribute name="LargeReintegrate" form="unqualified" type="xsd:integer"/>
                      <xsd:attribute name="OneReintegrate" form="unqualified" type="xsd:integer"/>
                      <xsd:attribute name="ForcePosCode1" form="unqualified" type="xsd:integer"/>
                      <xsd:attribute name="ForcePosCode4" form="unqualified" type="xsd:integer"/>
                    </xsd:complexType>
                  </xsd:element>
                  <xsd:element minOccurs="0" nillable="true" name="StackParam" form="unqualified">
                    <xsd:complexType>
                      <xsd:attribute name="MaxStack" form="unqualified" type="xsd:integer"/>
                      <xsd:attribute name="HCNotStacked" form="unqualified" type="xsd:integer"/>
                      <xsd:attribute name="MinDim" form="unqualified" type="xsd:double"/>
                      <xsd:attribute name="MaxDim" form="unqualified" type="xsd:double"/>
                      <xsd:attribute name="MaxDimAbs" form="unqualified" type="xsd:double"/>
                      <xsd:attribute name="MinLength" form="unqualified" type="xsd:double"/>
                      <xsd:attribute name="MinWidth" form="unqualified" type="xsd:double"/>
                      <xsd:attribute name="MinQty" form="unqualified" type="xsd:integer"/>
                      <xsd:attribute name="StackingParNo" form="unqualified" type="xsd:integer"/>
                      <xsd:attribute name="GreatDimTol" form="unqualified" type="xsd:integer"/>
                      <xsd:attribute name="MaxCtmQty" form="unqualified" type="xsd:integer"/>
                      <xsd:attribute name="TolLength" form="unqualified" type="xsd:integer"/>
                      <xsd:attribute name="TolWidth" form="unqualified" type="xsd:integer"/>
                      <xsd:attribute name="SortPattern" form="unqualified" type="xsd:integer"/>
                      <xsd:attribute name="MinDimAuxStation" form="unqualified" type="xsd:double"/>
                      <xsd:attribute name="MinDimGreatStation" form="unqualified" type="xsd:double"/>
                      <xsd:attribute name="MaxLenRotForPenalty" form="unqualified" type="xsd:double"/>
                      <xsd:attribute name="MaxWidRotForPenalty" form="unqualified" type="xsd:double"/>
                    </xsd:complexType>
                  </xsd:element>
                  <xsd:element minOccurs="0" nillable="true" name="BundleParam" form="unqualified">
                    <xsd:complexType>
                      <xsd:attribute name="MinBundle" form="unqualified" type="xsd:integer"/>
                      <xsd:attribute name="MaxBundle" form="unqualified" type="xsd:integer"/>
                      <xsd:attribute name="NoPattMinWaste" form="unqualified" type="xsd:integer"/>
                    </xsd:complexType>
                  </xsd:element>
                  <xsd:element minOccurs="0" nillable="true" name="ZCutParam" form="unqualified">
                    <xsd:complexType>
                      <xsd:attribute name="MaxStages" form="unqualified" type="xsd:integer"/>
                      <xsd:attribute name="MinCutLen" form="unqualified" type="xsd:double"/>
                      <xsd:attribute name="MaxCutLen" form="unqualified" type="xsd:double"/>
                      <xsd:attribute name="MinCutDist" form="unqualified" type="xsd:double"/>
                      <xsd:attribute name="MaxCutDist" form="unqualified" type="xsd:double"/>
                      <xsd:attribute name="MinLastCutDist" form="unqualified" type="xsd:double"/>
                      <xsd:attribute name="MaxCutsForBlock" form="unqualified" type="xsd:integer"/>
                      <xsd:attribute name="MaxTotCutsForBlock" form="unqualified" type="xsd:integer"/>
                      <xsd:attribute name="MinCutTrim" form="unqualified" type="xsd:double"/>
                      <xsd:attribute name="MaxCutTrim" form="unqualified" type="xsd:double"/>
                      <xsd:attribute name="MaxStripZCuts" form="unqualified" type="xsd:integer"/>
                      <xsd:attribute name="MaxTotStripZCuts" form="unqualified" type="xsd:integer"/>
                    </xsd:complexType>
                  </xsd:element>
                  <xsd:element minOccurs="0" nillable="true" name="LRParam" form="unqualified">
                    <xsd:complexType>
                      <xsd:attribute name="MinPartLen" form="unqualified" type="xsd:double"/>
                      <xsd:attribute name="MaxPartLen" form="unqualified" type="xsd:double"/>
                      <xsd:attribute name="MinLastPartLen" form="unqualified" type="xsd:double"/>
                      <xsd:attribute name="MinStripWid" form="unqualified" type="xsd:double"/>
                      <xsd:attribute name="MaxStripWid" form="unqualified" type="xsd:double"/>
                      <xsd:attribute name="MinLastStripWid" form="unqualified" type="xsd:double"/>
                      <xsd:attribute name="MaxPartsForStrip" form="unqualified" type="xsd:integer"/>
                      <xsd:attribute name="MaxTotPartsForStrip" form="unqualified" type="xsd:integer"/>
                      <xsd:attribute name="MaxStrips" form="unqualified" type="xsd:integer"/>
                      <xsd:attribute name="MaxTotStrips" form="unqualified" type="xsd:integer"/>
                      <xsd:attribute name="MaxStripGroups" form="unqualified" type="xsd:integer"/>
                      <xsd:attribute name="MinStripGroupWid" form="unqualified" type="xsd:double"/>
                      <xsd:attribute name="MaxStripGroupWid" form="unqualified" type="xsd:double"/>
                      <xsd:attribute name="ZCutsAllowed" form="unqualified" type="xsd:integer"/>
                    </xsd:complexType>
                  </xsd:element>
                  <xsd:element minOccurs="0" nillable="true" name="SRParam" form="unqualified">
                    <xsd:complexType>
                      <xsd:attribute name="MinPartWid" form="unqualified" type="xsd:double"/>
                      <xsd:attribute name="MaxPartWid" form="unqualified" type="xsd:double"/>
                      <xsd:attribute name="MinLastPartWid" form="unqualified" type="xsd:double"/>
                      <xsd:attribute name="MinStripLen" form="unqualified" type="xsd:double"/>
                      <xsd:attribute name="MaxStripLen" form="unqualified" type="xsd:double"/>
                      <xsd:attribute name="MinLastStripLen" form="unqualified" type="xsd:double"/>
                      <xsd:attribute name="MaxPartsForStrip" form="unqualified" type="xsd:integer"/>
                      <xsd:attribute name="MaxTotPartsForStrip" form="unqualified" type="xsd:integer"/>
                      <xsd:attribute name="MaxStrips" form="unqualified" type="xsd:integer"/>
                      <xsd:attribute name="MaxTotStrips" form="unqualified" type="xsd:integer"/>
                      <xsd:attribute name="MaxStripGroups" form="unqualified" type="xsd:integer"/>
                      <xsd:attribute name="MinStripGroupLen" form="unqualified" type="xsd:double"/>
                      <xsd:attribute name="MaxStripGroupLen" form="unqualified" type="xsd:double"/>
                      <xsd:attribute name="MaxScrapForSplitting" form="unqualified" type="xsd:double"/>
                      <xsd:attribute name="ZCutsAllowed" form="unqualified" type="xsd:integer"/>
                    </xsd:complexType>
                  </xsd:element>
                  <xsd:element minOccurs="0" nillable="true" name="SHCParam" form="unqualified">
                    <xsd:complexType>
                      <xsd:sequence minOccurs="0">
                        <xsd:element minOccurs="0" nillable="true" name="ShortHeadCut" form="unqualified">
                          <xsd:complexType>
                            <xsd:attribute name="MinPartWid" form="unqualified" type="xsd:double"/>
                            <xsd:attribute name="MaxPartWid" form="unqualified" type="xsd:double"/>
                            <xsd:attribute name="MinLastPartWid" form="unqualified" type="xsd:double"/>
                            <xsd:attribute name="MinStripLen" form="unqualified" type="xsd:double"/>
                            <xsd:attribute name="MaxStripLen" form="unqualified" type="xsd:double"/>
                            <xsd:attribute name="MinLastStripLen" form="unqualified" type="xsd:double"/>
                            <xsd:attribute name="MaxPartsForStrip" form="unqualified" type="xsd:integer"/>
                            <xsd:attribute name="MaxTotPartsForStrip" form="unqualified" type="xsd:integer"/>
                            <xsd:attribute name="MaxStrips" form="unqualified" type="xsd:integer"/>
                            <xsd:attribute name="MaxTotStrips" form="unqualified" type="xsd:integer"/>
                            <xsd:attribute name="MaxStripGroups" form="unqualified" type="xsd:integer"/>
                            <xsd:attribute name="MinStripGroupLen" form="unqualified" type="xsd:double"/>
                            <xsd:attribute name="MaxStripGroupLen" form="unqualified" type="xsd:double"/>
                            <xsd:attribute name="ZCutsAllowed" form="unqualified" type="xsd:integer"/>
                          </xsd:complexType>
                        </xsd:element>
                        <xsd:element minOccurs="0" nillable="true" name="ShortMainBody" form="unqualified">
                          <xsd:complexType>
                            <xsd:attribute name="MinPartLen" form="unqualified" type="xsd:double"/>
                            <xsd:attribute name="MaxPartLen" form="unqualified" type="xsd:double"/>
                            <xsd:attribute name="MinLastPartLen" form="unqualified" type="xsd:double"/>
                            <xsd:attribute name="MinStripWid" form="unqualified" type="xsd:double"/>
                            <xsd:attribute name="MaxStripWid" form="unqualified" type="xsd:double"/>
                            <xsd:attribute name="MinLastStripWid" form="unqualified" type="xsd:double"/>
                            <xsd:attribute name="MaxPartsForStrip" form="unqualified" type="xsd:integer"/>
                            <xsd:attribute name="MaxTotPartsForStrip" form="unqualified" type="xsd:integer"/>
                            <xsd:attribute name="MaxStrips" form="unqualified" type="xsd:integer"/>
                            <xsd:attribute name="MaxTotStrips" form="unqualified" type="xsd:integer"/>
                            <xsd:attribute name="MaxStripGroups" form="unqualified" type="xsd:integer"/>
                            <xsd:attribute name="MinStripGroupWid" form="unqualified" type="xsd:double"/>
                            <xsd:attribute name="MaxStripGroupWid" form="unqualified" type="xsd:double"/>
                            <xsd:attribute name="ZCutsAllowed" form="unqualified" type="xsd:integer"/>
                          </xsd:complexType>
                        </xsd:element>
                      </xsd:sequence>
                      <xsd:attribute name="MaxHCLen" form="unqualified" type="xsd:double"/>
                      <xsd:attribute name="MinHCLen" form="unqualified" type="xsd:double"/>
                      <xsd:attribute name="MinBodyLen" form="unqualified" type="xsd:double"/>
                    </xsd:complexType>
                  </xsd:element>
                  <xsd:element minOccurs="0" nillable="true" name="LHCParam" form="unqualified">
                    <xsd:complexType>
                      <xsd:sequence minOccurs="0">
                        <xsd:element minOccurs="0" nillable="true" name="LongHeadCut" form="unqualified">
                          <xsd:complexType>
                            <xsd:attribute name="MinPartLen" form="unqualified" type="xsd:double"/>
                            <xsd:attribute name="MaxPartLen" form="unqualified" type="xsd:double"/>
                            <xsd:attribute name="MinLastPartLen" form="unqualified" type="xsd:double"/>
                            <xsd:attribute name="MinStripWid" form="unqualified" type="xsd:double"/>
                            <xsd:attribute name="MaxStripWid" form="unqualified" type="xsd:double"/>
                            <xsd:attribute name="MinLastStripWid" form="unqualified" type="xsd:double"/>
                            <xsd:attribute name="MaxPartsForStrip" form="unqualified" type="xsd:integer"/>
                            <xsd:attribute name="MaxTotPartsForStrip" form="unqualified" type="xsd:integer"/>
                            <xsd:attribute name="MaxStrips" form="unqualified" type="xsd:integer"/>
                            <xsd:attribute name="MaxTotStrips" form="unqualified" type="xsd:integer"/>
                            <xsd:attribute name="MaxStripGroups" form="unqualified" type="xsd:integer"/>
                            <xsd:attribute name="MinStripGroupWid" form="unqualified" type="xsd:double"/>
                            <xsd:attribute name="MaxStripGroupWid" form="unqualified" type="xsd:double"/>
                            <xsd:attribute name="ZCutsAllowed" form="unqualified" type="xsd:integer"/>
                          </xsd:complexType>
                        </xsd:element>
                        <xsd:element minOccurs="0" nillable="true" name="LongMainBody" form="unqualified">
                          <xsd:complexType>
                            <xsd:attribute name="MinPartWid" form="unqualified" type="xsd:double"/>
                            <xsd:attribute name="MaxPartWid" form="unqualified" type="xsd:double"/>
                            <xsd:attribute name="MinLastPartWid" form="unqualified" type="xsd:double"/>
                            <xsd:attribute name="MinStripLen" form="unqualified" type="xsd:double"/>
                            <xsd:attribute name="MaxStripLen" form="unqualified" type="xsd:double"/>
                            <xsd:attribute name="MinLastStripLen" form="unqualified" type="xsd:double"/>
                            <xsd:attribute name="MaxPartsForStrip" form="unqualified" type="xsd:integer"/>
                            <xsd:attribute name="MaxTotPartsForStrip" form="unqualified" type="xsd:integer"/>
                            <xsd:attribute name="MaxStrips" form="unqualified" type="xsd:integer"/>
                            <xsd:attribute name="MaxTotStrips" form="unqualified" type="xsd:integer"/>
                            <xsd:attribute name="MaxStripGroups" form="unqualified" type="xsd:integer"/>
                            <xsd:attribute name="MinStripGroupLen" form="unqualified" type="xsd:double"/>
                            <xsd:attribute name="MaxStripGroupLen" form="unqualified" type="xsd:double"/>
                            <xsd:attribute name="ZCutsAllowed" form="unqualified" type="xsd:integer"/>
                          </xsd:complexType>
                        </xsd:element>
                      </xsd:sequence>
                      <xsd:attribute name="MaxHCWid" form="unqualified" type="xsd:double"/>
                      <xsd:attribute name="MinHCWid" form="unqualified" type="xsd:double"/>
                      <xsd:attribute name="MinBodyWid" form="unqualified" type="xsd:double"/>
                    </xsd:complexType>
                  </xsd:element>
                </xsd:sequence>
                <xsd:attribute name="Algo" form="unqualified" type="xsd:integer"/>
                <xsd:attribute name="LR" form="unqualified" type="xsd:integer"/>
                <xsd:attribute name="SR" form="unqualified" type="xsd:integer"/>
                <xsd:attribute name="SHC" form="unqualified" type="xsd:integer"/>
                <xsd:attribute name="ZC" form="unqualified" type="xsd:integer"/>
                <xsd:attribute name="DRP" form="unqualified" type="xsd:integer"/>
              </xsd:complexType>
            </xsd:element>
            <xsd:element minOccurs="0" nillable="true" name="DDMParams" form="unqualified">
              <xsd:complexType>
                <xsd:attribute name="AlgoTime" form="unqualified" type="xsd:integer"/>
              </xsd:complexType>
            </xsd:element>
            <xsd:element minOccurs="0" nillable="true" name="SimulParam" form="unqualified">
              <xsd:complexType>
                <xsd:sequence minOccurs="0">
                  <xsd:element minOccurs="0" nillable="true" name="Blades" form="unqualified">
                    <xsd:complexType>
                      <xsd:attribute name="Rip" form="unqualified" type="xsd:double"/>
                      <xsd:attribute name="Cross" form="unqualified" type="xsd:double"/>
                      <xsd:attribute name="HC" form="unqualified" type="xsd:double"/>
                      <xsd:attribute name="ZC" form="unqualified" type="xsd:double"/>
                      <xsd:attribute name="Main" form="unqualified" type="xsd:double"/>
                      <xsd:attribute name="Groove" form="unqualified" type="xsd:double"/>
                    </xsd:complexType>
                  </xsd:element>
                  <xsd:element minOccurs="0" nillable="true" name="Cutters" form="unqualified">
                    <xsd:complexType>
                      <xsd:attribute name="Thick1" form="unqualified" type="xsd:double"/>
                      <xsd:attribute name="Thick2" form="unqualified" type="xsd:double"/>
                      <xsd:attribute name="MaxMatThick1" form="unqualified" type="xsd:double"/>
                    </xsd:complexType>
                  </xsd:element>
                  <xsd:element minOccurs="0" nillable="true" name="Trims" form="unqualified">
                    <xsd:complexType>
                      <xsd:attribute name="MinDivRip" form="unqualified" type="xsd:double"/>
                      <xsd:attribute name="MaxDivRip" form="unqualified" type="xsd:double"/>
                      <xsd:attribute name="OptRip" form="unqualified" type="xsd:double"/>
                      <xsd:attribute name="ForceRip" form="unqualified" type="xsd:integer"/>
                      <xsd:attribute name="MinDivCross" form="unqualified" type="xsd:double"/>
                      <xsd:attribute name="MaxDivCross" form="unqualified" type="xsd:double"/>
                      <xsd:attribute name="OptCross" form="unqualified" type="xsd:double"/>
                      <xsd:attribute name="ForceCross" form="unqualified" type="xsd:integer"/>
                      <xsd:attribute name="HCTrimMax" form="unqualified" type="xsd:double"/>
                      <xsd:attribute name="HCTrimMin" form="unqualified" type="xsd:double"/>
                      <xsd:attribute name="HCOptTrim" form="unqualified" type="xsd:double"/>
                      <xsd:attribute name="HCForceTrim" form="unqualified" type="xsd:integer"/>
                      <xsd:attribute name="ZMinTrim" form="unqualified" type="xsd:double"/>
                      <xsd:attribute name="ZMaxTrim" form="unqualified" type="xsd:double"/>
                      <xsd:attribute name="ZOptTrim" form="unqualified" type="xsd:double"/>
                      <xsd:attribute name="ZForceTrim" form="unqualified" type="xsd:integer"/>
                      <xsd:attribute name="TrimAddHC" form="unqualified" type="xsd:double"/>
                      <xsd:attribute name="TrimAfterHC" form="unqualified" type="xsd:integer"/>
                      <xsd:attribute name="TrimBeforeHC" form="unqualified" type="xsd:integer"/>
                      <xsd:attribute name="TrimAddZC" form="unqualified" type="xsd:double"/>
                      <xsd:attribute name="NcOsiTrim" form="unqualified" type="xsd:integer"/>
                    </xsd:complexType>
                  </xsd:element>
                  <xsd:element minOccurs="0" nillable="true" name="Clamps" form="unqualified">
                    <xsd:complexType>
                      <xsd:sequence minOccurs="0">
                        <xsd:element minOccurs="0" maxOccurs="unbounded" nillable="true" name="Clamp" form="unqualified">
                          <xsd:complexType>
                            <xsd:attribute name="pos" form="unqualified" type="xsd:double"/>
                          </xsd:complexType>
                        </xsd:element>
                      </xsd:sequence>
                      <xsd:attribute name="Nr" form="unqualified" type="xsd:integer"/>
                      <xsd:attribute name="ClampsSol" form="unqualified" type="xsd:integer"/>
                      <xsd:attribute name="ClampsInd" form="unqualified" type="xsd:integer"/>
                      <xsd:attribute name="ClampsTp" form="unqualified" type="xsd:integer"/>
                      <xsd:attribute name="Dim" form="unqualified" type="xsd:double"/>
                      <xsd:attribute name="Tol" form="unqualified" type="xsd:double"/>
                      <xsd:attribute name="ClampsTime" form="unqualified" type="xsd:integer"/>
                    </xsd:complexType>
                  </xsd:element>
                  <xsd:element minOccurs="0" nillable="true" name="TMan" form="unqualified">
                    <xsd:complexType>
                      <xsd:attribute name="mask" form="unqualified" type="xsd:integer"/>
                      <xsd:attribute name="HCRot" form="unqualified" type="xsd:integer"/>
                      <xsd:attribute name="MBRot" form="unqualified" type="xsd:integer"/>
                      <xsd:attribute name="StripRot" form="unqualified" type="xsd:integer"/>
                      <xsd:attribute name="ZCRot" form="unqualified" type="xsd:integer"/>
                      <xsd:attribute name="TrimEvac" form="unqualified" type="xsd:integer"/>
                      <xsd:attribute name="DropEvacCoeff" form="unqualified" type="xsd:integer"/>
                      <xsd:attribute name="PanelLoad" form="unqualified" type="xsd:integer"/>
                      <xsd:attribute name="BookCoeff" form="unqualified" type="xsd:integer"/>
                    </xsd:complexType>
                  </xsd:element>
                  <xsd:element minOccurs="0" nillable="true" name="FirstAxis" form="unqualified">
                    <xsd:complexType>
                      <xsd:attribute name="SawCarriageOverstroke" form="unqualified" type="xsd:double"/>
                      <xsd:attribute name="SawCarriageSpeed" form="unqualified" type="xsd:integer"/>
                      <xsd:attribute name="SawCarriageReturnSpeed" form="unqualified" type="xsd:integer"/>
                      <xsd:attribute name="SawCarriageRamp" form="unqualified" type="xsd:integer"/>
                      <xsd:attribute name="PusherSpeed" form="unqualified" type="xsd:integer"/>
                      <xsd:attribute name="PusherReturnSpeed" form="unqualified" type="xsd:integer"/>
                      <xsd:attribute name="PusherRamp" form="unqualified" type="xsd:integer"/>
                      <xsd:attribute name="PressureBeam" form="unqualified" type="xsd:integer"/>
                      <xsd:attribute name="LastCutWait" form="unqualified" type="xsd:integer"/>
                      <xsd:attribute name="SpeedDecThresholdForTrim" form="unqualified" type="xsd:double"/>
                      <xsd:attribute name="SpeedDecCoeffForTrim" form="unqualified" type="xsd:integer"/>
                      <xsd:attribute name="SpeedDecCoeffForBook" form="unqualified" type="xsd:integer"/>
                      <xsd:attribute name="FrontAlignPos" form="unqualified" type="xsd:double"/>
                      <xsd:attribute name="FrontAlignTime" form="unqualified" type="xsd:integer"/>
                      <xsd:attribute name="ExpulInterfPos" form="unqualified" type="xsd:double"/>
                      <xsd:attribute name="ExpulsionTime" form="unqualified" type="xsd:integer"/>
                      <xsd:attribute name="SplitUpThreshold" form="unqualified" type="xsd:double"/>
                      <xsd:attribute name="SideAlignTime" form="unqualified" type="xsd:integer"/>
                      <xsd:attribute name="BackPos" form="unqualified" type="xsd:double"/>
                      <xsd:attribute name="WithdrawalPos" form="unqualified" type="xsd:double"/>
                      <xsd:attribute name="MaxAlignDim" form="unqualified" type="xsd:double"/>
                    </xsd:complexType>
                  </xsd:element>
                  <xsd:element minOccurs="0" nillable="true" name="SecondAxis" form="unqualified">
                    <xsd:complexType>
                      <xsd:attribute name="SawCarriageOverstroke" form="unqualified" type="xsd:double"/>
                      <xsd:attribute name="SawCarriageSpeed" form="unqualified" type="xsd:integer"/>
                      <xsd:attribute name="SawCarriageReturnSpeed" form="unqualified" type="xsd:integer"/>
                      <xsd:attribute name="SawCarriageRamp" form="unqualified" type="xsd:integer"/>
                      <xsd:attribute name="PusherSpeed" form="unqualified" type="xsd:integer"/>
                      <xsd:attribute name="PusherReturnSpeed" form="unqualified" type="xsd:integer"/>
                      <xsd:attribute name="PusherRamp" form="unqualified" type="xsd:integer"/>
                      <xsd:attribute name="PressureBeam" form="unqualified" type="xsd:integer"/>
                      <xsd:attribute name="LastCutWait" form="unqualified" type="xsd:integer"/>
                      <xsd:attribute name="SpeedDecThresholdForTrim" form="unqualified" type="xsd:double"/>
                      <xsd:attribute name="SpeedDecCoeffForTrim" form="unqualified" type="xsd:integer"/>
                      <xsd:attribute name="SpeedDecCoeffForBook" form="unqualified" type="xsd:integer"/>
                      <xsd:attribute name="FrontAlignPos" form="unqualified" type="xsd:double"/>
                      <xsd:attribute name="FrontAlignTime" form="unqualified" type="xsd:integer"/>
                      <xsd:attribute name="ExpulInterfPos" form="unqualified" type="xsd:double"/>
                      <xsd:attribute name="ExpulsionTime" form="unqualified" type="xsd:integer"/>
                      <xsd:attribute name="SplitUpThreshold" form="unqualified" type="xsd:double"/>
                      <xsd:attribute name="TrapdoorTime" form="unqualified" type="xsd:integer"/>
                      <xsd:attribute name="TrapdoorPos" form="unqualified" type="xsd:double"/>
                      <xsd:attribute name="TP_PusherStroke" form="unqualified" type="xsd:double"/>
                      <xsd:attribute name="TP_MaxCatWid" form="unqualified" type="xsd:double"/>
                      <xsd:attribute name="TP_LenPVA" form="unqualified" type="xsd:double"/>
                      <xsd:attribute name="TP_Offset" form="unqualified" type="xsd:double"/>
                      <xsd:attribute name="TP_PosBegin750" form="unqualified" type="xsd:double"/>
                      <xsd:attribute name="TP_PosEnd750" form="unqualified" type="xsd:double"/>
                      <xsd:attribute name="TP_PosStep750" form="unqualified" type="xsd:double"/>
                      <xsd:attribute name="TP_Distance750" form="unqualified" type="xsd:double"/>
                      <xsd:attribute name="TP_PosNoInterf" form="unqualified" type="xsd:double"/>
                    </xsd:complexType>
                  </xsd:element>
                  <xsd:element minOccurs="0" nillable="true" name="Mill" form="unqualified">
                    <xsd:complexType>
                      <xsd:attribute name="Thickness" form="unqualified" type="xsd:double"/>
                      <xsd:attribute name="NumBook" form="unqualified" type="xsd:integer"/>
                      <xsd:attribute name="MaxBook" form="unqualified" type="xsd:double"/>
                      <xsd:attribute name="DimMinLastCut" form="unqualified" type="xsd:double"/>
                      <xsd:attribute name="DimMin" form="unqualified" type="xsd:double"/>
                      <xsd:attribute name="Kerf" form="unqualified" type="xsd:double"/>
                      <xsd:attribute name="TolStart" form="unqualified" type="xsd:double"/>
                      <xsd:attribute name="TolEnd" form="unqualified" type="xsd:double"/>
                      <xsd:attribute name="CutLineDist" form="unqualified" type="xsd:double"/>
                      <xsd:attribute name="WorkSpeed" form="unqualified" type="xsd:integer"/>
                      <xsd:attribute name="PosSpeed" form="unqualified" type="xsd:integer"/>
                    </xsd:complexType>
                  </xsd:element>
                  <xsd:element minOccurs="0" nillable="true" name="Shuttle" form="unqualified">
                    <xsd:complexType>
                      <xsd:attribute name="Width" form="unqualified" type="xsd:double"/>
                      <xsd:attribute name="RampTime" form="unqualified" type="xsd:integer"/>
                      <xsd:attribute name="LiftTime" form="unqualified" type="xsd:integer"/>
                      <xsd:attribute name="EmptySpeed" form="unqualified" type="xsd:integer"/>
                      <xsd:attribute name="LoadedSpeed" form="unqualified" type="xsd:integer"/>
                      <xsd:attribute name="StoringSpeed" form="unqualified" type="xsd:integer"/>
                      <xsd:attribute name="SpeedDecCoeffForBook" form="unqualified" type="xsd:integer"/>
                      <xsd:attribute name="GroupMinWidthForBookMov" form="unqualified" type="xsd:double"/>
                      <xsd:attribute name="SpeedDecCoeffForNarrowStrips" form="unqualified" type="xsd:integer"/>
                      <xsd:attribute name="NarrowStripWidthMax" form="unqualified" type="xsd:double"/>
                      <xsd:attribute name="WithdrawalPos" form="unqualified" type="xsd:double"/>
                      <xsd:attribute name="TrapdoorOpenPos" form="unqualified" type="xsd:double"/>
                      <xsd:attribute name="CrossPos" form="unqualified" type="xsd:double"/>
                      <xsd:attribute name="WaitingStationPos" form="unqualified" type="xsd:double"/>
                      <xsd:attribute name="WaitingStationSize" form="unqualified" type="xsd:double"/>
                      <xsd:attribute name="HIntBook" form="unqualified" type="xsd:double"/>
                    </xsd:complexType>
                  </xsd:element>
                  <xsd:element minOccurs="0" nillable="true" name="Transfer" form="unqualified">
                    <xsd:complexType>
                      <xsd:attribute name="RampTime" form="unqualified" type="xsd:integer"/>
                      <xsd:attribute name="EmptySpeed" form="unqualified" type="xsd:integer"/>
                      <xsd:attribute name="LoadedSpeed" form="unqualified" type="xsd:integer"/>
                      <xsd:attribute name="SpeedDecCoeffForBook" form="unqualified" type="xsd:integer"/>
                      <xsd:attribute name="GroupMinWidthForBookMov" form="unqualified" type="xsd:double"/>
                      <xsd:attribute name="SpeedDecCoeffForNarrowStrips" form="unqualified" type="xsd:integer"/>
                      <xsd:attribute name="NarrowStripWidthMax" form="unqualified" type="xsd:double"/>
                      <xsd:attribute name="TrapdoorInPos" form="unqualified" type="xsd:double"/>
                      <xsd:attribute name="TrapdoorOutPos" form="unqualified" type="xsd:double"/>
                      <xsd:attribute name="CrossPos" form="unqualified" type="xsd:double"/>
                      <xsd:attribute name="RollerSize" form="unqualified" type="xsd:double"/>
                      <xsd:attribute name="RollerTime" form="unqualified" type="xsd:integer"/>
                      <xsd:attribute name="PreWStationSize" form="unqualified" type="xsd:double"/>
                      <xsd:attribute name="TotalSize" form="unqualified" type="xsd:double"/>
                      <xsd:attribute name="LiftTime" form="unqualified" type="xsd:integer"/>
                      <xsd:attribute name="Roller1Pos" form="unqualified" type="xsd:double"/>
                      <xsd:attribute name="MinLengthTras" form="unqualified" type="xsd:double"/>
                      <xsd:attribute name="MinWidthTrasBack" form="unqualified" type="xsd:double"/>
                    </xsd:complexType>
                  </xsd:element>
                  <xsd:element minOccurs="0" nillable="true" name="LiftTable" form="unqualified">
                    <xsd:complexType>
                      <xsd:attribute name="MaxLoadingHeight" form="unqualified" type="xsd:double"/>
                      <xsd:attribute name="SetupTime" form="unqualified" type="xsd:integer"/>
                      <xsd:attribute name="ThinMatLoadTime" form="unqualified" type="xsd:integer"/>
                      <xsd:attribute name="WithdrawalSpeed" form="unqualified" type="xsd:integer"/>
                      <xsd:attribute name="ThinMatWithdrawalSpeed" form="unqualified" type="xsd:integer"/>
                      <xsd:attribute name="WithdrawalPos" form="unqualified" type="xsd:double"/>
                      <xsd:attribute name="PushingPointsTime" form="unqualified" type="xsd:integer"/>
                    </xsd:complexType>
                  </xsd:element>
                  <xsd:element minOccurs="0" nillable="true" name="Vacuum" form="unqualified">
                    <xsd:complexType>
                      <xsd:attribute name="LoadingTimeForFirstThickPanel" form="unqualified" type="xsd:integer"/>
                      <xsd:attribute name="ThickPanelLoadingTime" form="unqualified" type="xsd:integer"/>
                      <xsd:attribute name="ThickPanelDeltaTime" form="unqualified" type="xsd:integer"/>
                      <xsd:attribute name="LoadingTimeForFirstThinPanel" form="unqualified" type="xsd:integer"/>
                      <xsd:attribute name="ThinPanelLoadingTime" form="unqualified" type="xsd:integer"/>
                      <xsd:attribute name="ThinPanelDeltaTime" form="unqualified" type="xsd:integer"/>
                      <xsd:attribute name="VacuumInterferencePos" form="unqualified" type="xsd:double"/>
                      <xsd:attribute name="BookWithdrawalPos" form="unqualified" type="xsd:double"/>
                      <xsd:attribute name="WithdrawalSpeed" form="unqualified" type="xsd:integer"/>
                      <xsd:attribute name="VacumLeavePusherTakeDistance" form="unqualified" type="xsd:integer"/>
                    </xsd:complexType>
                  </xsd:element>
                  <xsd:element minOccurs="0" nillable="true" name="TurningTable" form="unqualified">
                    <xsd:complexType>
                      <xsd:attribute name="FixedTime" form="unqualified" type="xsd:integer"/>
                      <xsd:attribute name="RotationTime" form="unqualified" type="xsd:integer"/>
                      <xsd:attribute name="SawLengthIncrease" form="unqualified" type="xsd:double"/>
                      <xsd:attribute name="IncreaseForRotation" form="unqualified" type="xsd:double"/>
                      <xsd:attribute name="FrontAlignerPos" form="unqualified" type="xsd:double"/>
                      <xsd:attribute name="DoubleAligner" form="unqualified" type="xsd:integer"/>
                      <xsd:attribute name="FirstAlignerPos" form="unqualified" type="xsd:double"/>
                      <xsd:attribute name="SecondAlignerPos" form="unqualified" type="xsd:double"/>
                      <xsd:attribute name="AlignersDistance" form="unqualified" type="xsd:double"/>
                      <xsd:attribute name="LenTable" form="unqualified" type="xsd:double"/>
                      <xsd:attribute name="WidTable" form="unqualified" type="xsd:double"/>
                    </xsd:complexType>
                  </xsd:element>
                  <xsd:element minOccurs="0" nillable="true" name="Nesting" form="unqualified">
                    <xsd:complexType>
                      <xsd:attribute name="SafetyClampTrim" form="unqualified" type="xsd:double"/>
                      <xsd:attribute name="PcsTrimOffset" form="unqualified" type="xsd:double"/>
                    </xsd:complexType>
                  </xsd:element>
                </xsd:sequence>
                <xsd:attribute name="Model" form="unqualified" type="xsd:integer"/>
                <xsd:attribute name="TimeCost" form="unqualified" type="xsd:integer"/>
                <xsd:attribute name="ModelName" form="unqualified" type="xsd:string"/>
                <xsd:attribute name="SimFlags" form="unqualified" type="xsd:integer"/>
                <xsd:attribute name="TypeABBA" form="unqualified" type="xsd:integer"/>
                <xsd:attribute name="SawSetup" form="unqualified" type="xsd:integer"/>
                <xsd:attribute name="RipSize" form="unqualified" type="xsd:double"/>
                <xsd:attribute name="CrossSize" form="unqualified" type="xsd:double"/>
                <xsd:attribute name="HCSize" form="unqualified" type="xsd:double"/>
                <xsd:attribute name="MinDimLastCut" form="unqualified" type="xsd:double"/>
                <xsd:attribute name="MaxBook" form="unqualified" type="xsd:double"/>
                <xsd:attribute name="MinWorkingSize" form="unqualified" type="xsd:double"/>
                <xsd:attribute name="MaxWorkingSize" form="unqualified" type="xsd:double"/>
                <xsd:attribute name="NumBook" form="unqualified" type="xsd:integer"/>
                <xsd:attribute name="BookThreshold" form="unqualified" type="xsd:double"/>
                <xsd:attribute name="ThickThreshold" form="unqualified" type="xsd:double"/>
                <xsd:attribute name="ThickLoad" form="unqualified" type="xsd:integer"/>
                <xsd:attribute name="ThickBook" form="unqualified" type="xsd:double"/>
                <xsd:attribute name="StripSuperposition" form="unqualified" type="xsd:integer"/>
                <xsd:attribute name="SpeedReduction" form="unqualified" type="xsd:integer"/>
              </xsd:complexType>
            </xsd:element>
            <xsd:element minOccurs="0" nillable="true" name="Solution" form="unqualified">
              <xsd:complexType>
                <xsd:sequence minOccurs="0">
                  <xsd:element minOccurs="0" maxOccurs="unbounded" nillable="true" name="Pattern" form="unqualified">
                    <xsd:complexType>
                      <xsd:attribute name="id" form="unqualified" type="xsd:string"/>
                      <xsd:attribute name="BrdNo" form="unqualified" type="xsd:string"/>
                      <xsd:attribute name="Rep" form="unqualified" type="xsd:integer"/>
                      <xsd:attribute name="Cyc" form="unqualified" type="xsd:integer"/>
                      <xsd:attribute name="UL" form="unqualified" type="xsd:double"/>
                      <xsd:attribute name="UW" form="unqualified" type="xsd:double"/>
                      <xsd:attribute name="TCyc" form="unqualified" type="xsd:integer"/>
                      <xsd:attribute name="TStart" form="unqualified" type="xsd:integer"/>
                      <xsd:attribute name="TStop" form="unqualified" type="xsd:integer"/>
                      <xsd:attribute name="TMan" form="unqualified" type="xsd:integer"/>
                      <xsd:attribute name="TLongMB" form="unqualified" type="xsd:integer"/>
                      <xsd:attribute name="TCrossMB" form="unqualified" type="xsd:integer"/>
                      <xsd:attribute name="CutLen1" form="unqualified" type="xsd:integer"/>
                      <xsd:attribute name="Prod" form="unqualified" type="xsd:integer"/>
                      <xsd:attribute name="HProd" form="unqualified" type="xsd:integer"/>
                      <xsd:attribute name="DropA" form="unqualified" type="xsd:integer"/>
                      <xsd:attribute name="Lost" form="unqualified" type="xsd:integer"/>
                      <xsd:attribute name="Kerf" form="unqualified" type="xsd:integer"/>
                      <xsd:attribute name="Trim" form="unqualified" type="xsd:integer"/>
                      <xsd:attribute name="Scrap" form="unqualified" type="xsd:integer"/>
                      <xsd:attribute name="Str" form="unqualified" type="xsd:string"/>
                      <xsd:attribute name="Chk" form="unqualified" type="xsd:integer"/>
                    </xsd:complexType>
                  </xsd:element>
                  <xsd:element minOccurs="0" maxOccurs="unbounded" nillable="true" name="Piece" form="unqualified">
                    <xsd:complexType>
                      <xsd:sequence minOccurs="0">
                        <xsd:element minOccurs="0" nillable="true" name="Pid" form="unqualified">
                          <xsd:complexType>
                            <xsd:attribute name="id" form="unqualified" type="xsd:string"/>
                          </xsd:complexType>
                        </xsd:element>
                        <xsd:element minOccurs="0" maxOccurs="unbounded" nillable="true" name="Sid" form="unqualified">
                          <xsd:complexType>
                            <xsd:attribute name="id" form="unqualified" type="xsd:string"/>
                            <xsd:attribute name="qP1" form="unqualified" type="xsd:integer"/>
                            <xsd:attribute name="qP2" form="unqualified" type="xsd:integer"/>
                            <xsd:attribute name="qP3" form="unqualified" type="xsd:integer"/>
                            <xsd:attribute name="qP4" form="unqualified" type="xsd:integer"/>
                          </xsd:complexType>
                        </xsd:element>
                        <xsd:element minOccurs="0" nillable="true" name="MatCost" form="unqualified">
                          <xsd:complexType>
                            <xsd:sequence minOccurs="0">
                              <xsd:element minOccurs="0" nillable="true" type="xsd:double" name="Currency" form="unqualified"/>
                            </xsd:sequence>
                          </xsd:complexType>
                        </xsd:element>
                        <xsd:element minOccurs="0" nillable="true" name="CutCost" form="unqualified">
                          <xsd:complexType>
                            <xsd:sequence minOccurs="0">
                              <xsd:element minOccurs="0" nillable="true" type="xsd:double" name="Currency" form="unqualified"/>
                            </xsd:sequence>
                          </xsd:complexType>
                        </xsd:element>
                        <xsd:element minOccurs="0" nillable="true" name="UCost" form="unqualified">
                          <xsd:complexType>
                            <xsd:sequence minOccurs="0">
                              <xsd:element minOccurs="0" nillable="true" type="xsd:double" name="Currency" form="unqualified"/>
                            </xsd:sequence>
                          </xsd:complexType>
                        </xsd:element>
                      </xsd:sequence>
                      <xsd:attribute name="N" form="unqualified" type="xsd:integer"/>
                      <xsd:attribute name="L" form="unqualified" type="xsd:double"/>
                      <xsd:attribute name="W" form="unqualified" type="xsd:double"/>
                      <xsd:attribute name="Q" form="unqualified" type="xsd:integer"/>
                      <xsd:attribute name="qMin" form="unqualified" type="xsd:integer"/>
                    </xsd:complexType>
                  </xsd:element>
                  <xsd:element minOccurs="0" maxOccurs="unbounded" nillable="true" name="Drop" form="unqualified">
                    <xsd:complexType>
                      <xsd:attribute name="D" form="unqualified" type="xsd:integer"/>
                      <xsd:attribute name="L" form="unqualified" type="xsd:double"/>
                      <xsd:attribute name="W" form="unqualified" type="xsd:double"/>
                      <xsd:attribute name="Q" form="unqualified" type="xsd:integer"/>
                      <xsd:attribute name="PercVal" form="unqualified" type="xsd:integer"/>
                      <xsd:attribute name="CostMQ" form="unqualified" type="xsd:double"/>
                      <xsd:attribute name="Pattern" form="unqualified" type="xsd:integer"/>
                    </xsd:complexType>
                  </xsd:element>
                  <xsd:element minOccurs="0" maxOccurs="unbounded" nillable="true" name="BrdInfo" form="unqualified">
                    <xsd:complexType>
                      <xsd:attribute name="BrdId" form="unqualified" type="xsd:string"/>
                      <xsd:attribute name="QUsed" form="unqualified" type="xsd:integer"/>
                      <xsd:attribute name="Prod" form="unqualified" type="xsd:integer"/>
                      <xsd:attribute name="DropA" form="unqualified" type="xsd:integer"/>
                      <xsd:attribute name="Lost" form="unqualified" type="xsd:integer"/>
                    </xsd:complexType>
                  </xsd:element>
                  <xsd:element minOccurs="0" maxOccurs="unbounded" nillable="true" name="PattInfo" form="unqualified">
                    <xsd:complexType>
                      <xsd:attribute name="name" form="unqualified" type="xsd:string"/>
                      <xsd:attribute name="Rep" form="unqualified" type="xsd:integer"/>
                      <xsd:attribute name="BrdNo" form="unqualified" type="xsd:string"/>
                      <xsd:attribute name="BrdType" form="unqualified" type="xsd:integer"/>
                    </xsd:complexType>
                  </xsd:element>
                </xsd:sequence>
                <xsd:attribute name="NPatterns" form="unqualified" type="xsd:integer"/>
                <xsd:attribute name="NStackQueue" form="unqualified" type="xsd:integer"/>
                <xsd:attribute name="TotTime" form="unqualified" type="xsd:integer"/>
                <xsd:attribute name="Worked" form="unqualified" type="xsd:integer"/>
                <xsd:attribute name="NPieces" form="unqualified" type="xsd:integer"/>
                <xsd:attribute name="PercLost" form="unqualified" type="xsd:string"/>
                <xsd:attribute name="Edited" form="unqualified" type="xsd:integer"/>
                <xsd:attribute name="TCut" form="unqualified" type="xsd:integer"/>
                <xsd:attribute name="TLongMB" form="unqualified" type="xsd:integer"/>
                <xsd:attribute name="TCrossMB" form="unqualified" type="xsd:integer"/>
                <xsd:attribute name="TMan" form="unqualified" type="xsd:integer"/>
                <xsd:attribute name="CutLen1" form="unqualified" type="xsd:integer"/>
                <xsd:attribute name="TCutLen1" form="unqualified" type="xsd:integer"/>
                <xsd:attribute name="NCycl" form="unqualified" type="xsd:integer"/>
                <xsd:attribute name="Prod" form="unqualified" type="xsd:integer"/>
                <xsd:attribute name="HProd" form="unqualified" type="xsd:integer"/>
                <xsd:attribute name="DropA" form="unqualified" type="xsd:integer"/>
                <xsd:attribute name="Lost" form="unqualified" type="xsd:integer"/>
                <xsd:attribute name="Kerf" form="unqualified" type="xsd:integer"/>
                <xsd:attribute name="Trim" form="unqualified" type="xsd:integer"/>
                <xsd:attribute name="Scrap" form="unqualified" type="xsd:integer"/>
              </xsd:complexType>
            </xsd:element>
          </xsd:sequence>
          <xsd:attribute name="order" form="unqualified" type="xsd:string"/>
          <xsd:attribute name="name" form="unqualified" type="xsd:string"/>
          <xsd:attribute name="NParts" form="unqualified" type="xsd:integer"/>
          <xsd:attribute name="NBoards" form="unqualified" type="xsd:integer"/>
        </xsd:complexType>
      </xsd:element>
    </xsd:schema>
  </Schema>
  <Map ID="1" Name="CutList_Map" RootElement="CutList" SchemaID="Schema1" ShowImportExportValidationErrors="false" AutoFit="true" Append="false" PreserveSortAFLayout="true" PreserveFormat="true">
    <DataBinding FileBinding="true" ConnectionID="4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0</xdr:rowOff>
        </xdr:from>
        <xdr:to>
          <xdr:col>6</xdr:col>
          <xdr:colOff>123825</xdr:colOff>
          <xdr:row>1</xdr:row>
          <xdr:rowOff>333375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0</xdr:rowOff>
        </xdr:from>
        <xdr:to>
          <xdr:col>6</xdr:col>
          <xdr:colOff>1552575</xdr:colOff>
          <xdr:row>1</xdr:row>
          <xdr:rowOff>333375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3366FF"/>
                  </a:solidFill>
                  <a:latin typeface="Calibri"/>
                  <a:ea typeface="Calibri"/>
                  <a:cs typeface="Calibri"/>
                </a:rPr>
                <a:t>INICIAR GESTIÓN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1552575</xdr:colOff>
          <xdr:row>0</xdr:row>
          <xdr:rowOff>0</xdr:rowOff>
        </xdr:from>
        <xdr:to>
          <xdr:col>8</xdr:col>
          <xdr:colOff>276225</xdr:colOff>
          <xdr:row>1</xdr:row>
          <xdr:rowOff>333375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PROCESAR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0</xdr:row>
          <xdr:rowOff>0</xdr:rowOff>
        </xdr:from>
        <xdr:to>
          <xdr:col>9</xdr:col>
          <xdr:colOff>828675</xdr:colOff>
          <xdr:row>1</xdr:row>
          <xdr:rowOff>333375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9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LIMPIAR PLANTILLA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207064</xdr:colOff>
      <xdr:row>11</xdr:row>
      <xdr:rowOff>74544</xdr:rowOff>
    </xdr:from>
    <xdr:to>
      <xdr:col>4</xdr:col>
      <xdr:colOff>314738</xdr:colOff>
      <xdr:row>14</xdr:row>
      <xdr:rowOff>185284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890" y="2087218"/>
          <a:ext cx="2948609" cy="682240"/>
        </a:xfrm>
        <a:prstGeom prst="rect">
          <a:avLst/>
        </a:prstGeom>
      </xdr:spPr>
    </xdr:pic>
    <xdr:clientData/>
  </xdr:twoCellAnchor>
  <xdr:twoCellAnchor editAs="oneCell">
    <xdr:from>
      <xdr:col>13</xdr:col>
      <xdr:colOff>331315</xdr:colOff>
      <xdr:row>0</xdr:row>
      <xdr:rowOff>0</xdr:rowOff>
    </xdr:from>
    <xdr:to>
      <xdr:col>16</xdr:col>
      <xdr:colOff>472118</xdr:colOff>
      <xdr:row>3</xdr:row>
      <xdr:rowOff>187825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11" y="0"/>
          <a:ext cx="2874064" cy="1057499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sde OdooV13test" connectionId="2" xr16:uid="{A891CB2A-A6B0-455E-818E-979A3B088780}" autoFormatId="16" applyNumberFormats="0" applyBorderFormats="0" applyFontFormats="0" applyPatternFormats="0" applyAlignmentFormats="0" applyWidthHeightFormats="0">
  <queryTableRefresh nextId="38" unboundColumnsRight="2">
    <queryTableFields count="17">
      <queryTableField id="17" name="cant" tableColumnId="17"/>
      <queryTableField id="18" name="material" tableColumnId="18"/>
      <queryTableField id="20" name="largo" tableColumnId="20"/>
      <queryTableField id="21" name="ancho" tableColumnId="21"/>
      <queryTableField id="15" name="ot" tableColumnId="15"/>
      <queryTableField id="19" name="codigo" tableColumnId="19"/>
      <queryTableField id="26" name="descrip" tableColumnId="26"/>
      <queryTableField id="16" name="origen" tableColumnId="16"/>
      <queryTableField id="22" name="espesor" tableColumnId="22"/>
      <queryTableField id="23" name="ruta" tableColumnId="23"/>
      <queryTableField id="24" name="ct" tableColumnId="24"/>
      <queryTableField id="25" name="veta" tableColumnId="25"/>
      <queryTableField id="33" name="cliente" tableColumnId="1"/>
      <queryTableField id="34" name="pedido" tableColumnId="2"/>
      <queryTableField id="35" name="semana" tableColumnId="3"/>
      <queryTableField id="36" dataBound="0" tableColumnId="4"/>
      <queryTableField id="37" dataBound="0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1" connectionId="3" xr16:uid="{1DDCD35D-71FF-4FEB-B784-0825FD9DAB92}" autoFormatId="16" applyNumberFormats="0" applyBorderFormats="0" applyFontFormats="0" applyPatternFormats="0" applyAlignmentFormats="0" applyWidthHeightFormats="0">
  <queryTableRefresh nextId="4">
    <queryTableFields count="3">
      <queryTableField id="1" name="name" tableColumnId="1"/>
      <queryTableField id="2" name="default_code" tableColumnId="2"/>
      <queryTableField id="3" name="descrip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EA8A518-25F7-4673-AF1B-99912580D218}" name="Tabla_Consulta_desde_OdooV13test8" displayName="Tabla_Consulta_desde_OdooV13test8" ref="A5:Q8" tableType="queryTable" totalsRowShown="0">
  <autoFilter ref="A5:Q8" xr:uid="{BBB91DFD-6839-47BA-831F-1DD744E1E549}"/>
  <tableColumns count="17">
    <tableColumn id="17" xr3:uid="{1FE1C7B5-A84D-44BE-B9FB-23F7CD8EC6A8}" uniqueName="17" name="cant" queryTableFieldId="17"/>
    <tableColumn id="18" xr3:uid="{0063159A-215C-4918-8B3A-B031F1002C88}" uniqueName="18" name="material" queryTableFieldId="18"/>
    <tableColumn id="20" xr3:uid="{3287867E-454A-41C6-A5B8-1D636FE4C8DE}" uniqueName="20" name="largo" queryTableFieldId="20"/>
    <tableColumn id="21" xr3:uid="{985C7A5C-F82D-4961-AEA2-B015D78F5036}" uniqueName="21" name="ancho" queryTableFieldId="21"/>
    <tableColumn id="15" xr3:uid="{2FB38EFA-6B67-471C-8EB7-36EB7066BB04}" uniqueName="15" name="ot" queryTableFieldId="15"/>
    <tableColumn id="19" xr3:uid="{3FFB74E1-7286-4D63-8DF3-98CFBD08E093}" uniqueName="19" name="codigo" queryTableFieldId="19"/>
    <tableColumn id="26" xr3:uid="{2EE9A679-D980-429F-8659-5E9C21D1B8B3}" uniqueName="26" name="descrip" queryTableFieldId="26"/>
    <tableColumn id="16" xr3:uid="{76207CFA-6664-4FF7-84BE-6F63A3B81810}" uniqueName="16" name="origen" queryTableFieldId="16"/>
    <tableColumn id="22" xr3:uid="{CCA579A7-94D0-4947-929C-AC3D5D34339D}" uniqueName="22" name="espesor" queryTableFieldId="22"/>
    <tableColumn id="23" xr3:uid="{8ACBCBCC-6C00-47FC-9D1C-07D738FA5EDA}" uniqueName="23" name="ruta" queryTableFieldId="23"/>
    <tableColumn id="24" xr3:uid="{D3A58899-2471-4602-87D1-30FEF742822E}" uniqueName="24" name="ct" queryTableFieldId="24"/>
    <tableColumn id="25" xr3:uid="{230A60B3-8F8A-4948-BC6A-5E2A1FA24F2B}" uniqueName="25" name="veta" queryTableFieldId="25"/>
    <tableColumn id="1" xr3:uid="{976564CB-8907-4EC0-A3D7-E1E35012827B}" uniqueName="1" name="cliente" queryTableFieldId="33"/>
    <tableColumn id="2" xr3:uid="{107BC999-4F24-4E61-89DC-0A748C089BE9}" uniqueName="2" name="pedido" queryTableFieldId="34"/>
    <tableColumn id="3" xr3:uid="{D14D2763-B037-4DBD-B597-BBA640C91E9B}" uniqueName="3" name="semana" queryTableFieldId="35"/>
    <tableColumn id="4" xr3:uid="{14D8860C-A1D3-496F-A216-5D80CFFFD3A5}" uniqueName="4" name="mueble" queryTableFieldId="36" dataDxfId="1">
      <calculatedColumnFormula>VLOOKUP(Tabla_Consulta_desde_OdooV13test8[[#This Row],[origen]],Tabla_Consulta1[#All],2,FALSE)</calculatedColumnFormula>
    </tableColumn>
    <tableColumn id="5" xr3:uid="{376343FC-FC28-4D5C-B7A5-51C10ACAABE8}" uniqueName="5" name="descrip mueble" queryTableFieldId="37" dataDxfId="0">
      <calculatedColumnFormula>VLOOKUP(Tabla_Consulta_desde_OdooV13test8[[#This Row],[origen]],Tabla_Consulta1[#All],3,FALSE)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3C9F1F-6DA4-455C-9002-3A4A18AE091B}" name="Tabla_Consulta1" displayName="Tabla_Consulta1" ref="A1:C179" tableType="queryTable" totalsRowShown="0">
  <autoFilter ref="A1:C179" xr:uid="{363C9F1F-6DA4-455C-9002-3A4A18AE091B}"/>
  <tableColumns count="3">
    <tableColumn id="1" xr3:uid="{D6013950-47FE-407C-9BA1-0143E96E30C0}" uniqueName="1" name="name" queryTableFieldId="1"/>
    <tableColumn id="2" xr3:uid="{3F6C08C6-CE4E-4A27-9936-6BFB846F8E30}" uniqueName="2" name="default_code" queryTableFieldId="2"/>
    <tableColumn id="3" xr3:uid="{FF3D425D-2897-441E-A6B8-5BCE2325EC39}" uniqueName="3" name="descrip" queryTableField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2DAD6-9690-45EC-A3F3-C850F10C9658}">
  <sheetPr codeName="Hoja2"/>
  <dimension ref="A1:F3"/>
  <sheetViews>
    <sheetView workbookViewId="0">
      <selection activeCell="A4" sqref="A4"/>
    </sheetView>
  </sheetViews>
  <sheetFormatPr baseColWidth="10" defaultRowHeight="15" x14ac:dyDescent="0.25"/>
  <sheetData>
    <row r="1" spans="1:6" x14ac:dyDescent="0.25">
      <c r="A1">
        <v>7</v>
      </c>
      <c r="B1" t="s">
        <v>39</v>
      </c>
      <c r="C1">
        <v>2063</v>
      </c>
      <c r="D1">
        <v>310</v>
      </c>
      <c r="E1" t="s">
        <v>361</v>
      </c>
      <c r="F1" t="s">
        <v>41</v>
      </c>
    </row>
    <row r="2" spans="1:6" x14ac:dyDescent="0.25">
      <c r="A2">
        <v>7</v>
      </c>
      <c r="B2" t="s">
        <v>39</v>
      </c>
      <c r="C2">
        <v>2072</v>
      </c>
      <c r="D2">
        <v>95</v>
      </c>
      <c r="E2" t="s">
        <v>366</v>
      </c>
      <c r="F2" t="s">
        <v>38</v>
      </c>
    </row>
    <row r="3" spans="1:6" x14ac:dyDescent="0.25">
      <c r="A3">
        <v>9</v>
      </c>
      <c r="B3" t="s">
        <v>39</v>
      </c>
      <c r="C3">
        <v>2175</v>
      </c>
      <c r="D3">
        <v>1003.5</v>
      </c>
      <c r="E3" t="s">
        <v>367</v>
      </c>
      <c r="F3" t="s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6D18A-2054-47BA-864B-082D1331BD43}">
  <sheetPr codeName="Hoja65"/>
  <dimension ref="A1:Q18"/>
  <sheetViews>
    <sheetView tabSelected="1" zoomScaleNormal="100" workbookViewId="0">
      <selection activeCell="H18" sqref="H18"/>
    </sheetView>
  </sheetViews>
  <sheetFormatPr baseColWidth="10" defaultRowHeight="15" x14ac:dyDescent="0.25"/>
  <cols>
    <col min="1" max="1" width="7" bestFit="1" customWidth="1"/>
    <col min="2" max="2" width="26.28515625" bestFit="1" customWidth="1"/>
    <col min="3" max="3" width="7.7109375" bestFit="1" customWidth="1"/>
    <col min="4" max="4" width="8.5703125" bestFit="1" customWidth="1"/>
    <col min="5" max="5" width="10.140625" bestFit="1" customWidth="1"/>
    <col min="6" max="6" width="19.7109375" bestFit="1" customWidth="1"/>
    <col min="7" max="7" width="28.28515625" bestFit="1" customWidth="1"/>
    <col min="8" max="8" width="10.140625" bestFit="1" customWidth="1"/>
    <col min="9" max="9" width="10.28515625" bestFit="1" customWidth="1"/>
    <col min="10" max="10" width="12.7109375" bestFit="1" customWidth="1"/>
    <col min="11" max="11" width="15.140625" bestFit="1" customWidth="1"/>
    <col min="12" max="12" width="7.140625" bestFit="1" customWidth="1"/>
    <col min="13" max="13" width="23" bestFit="1" customWidth="1"/>
    <col min="14" max="14" width="11.42578125" bestFit="1" customWidth="1"/>
    <col min="15" max="15" width="10.140625" bestFit="1" customWidth="1"/>
    <col min="16" max="16" width="19.42578125" bestFit="1" customWidth="1"/>
    <col min="17" max="17" width="18.28515625" bestFit="1" customWidth="1"/>
    <col min="18" max="18" width="14" bestFit="1" customWidth="1"/>
    <col min="19" max="19" width="24.85546875" bestFit="1" customWidth="1"/>
    <col min="20" max="20" width="16.42578125" bestFit="1" customWidth="1"/>
    <col min="21" max="21" width="16.28515625" bestFit="1" customWidth="1"/>
    <col min="22" max="22" width="19.5703125" bestFit="1" customWidth="1"/>
    <col min="23" max="23" width="17" bestFit="1" customWidth="1"/>
    <col min="24" max="24" width="15.140625" bestFit="1" customWidth="1"/>
    <col min="25" max="25" width="40.28515625" bestFit="1" customWidth="1"/>
    <col min="26" max="26" width="15" bestFit="1" customWidth="1"/>
    <col min="27" max="27" width="16.85546875" bestFit="1" customWidth="1"/>
    <col min="28" max="28" width="11.85546875" bestFit="1" customWidth="1"/>
    <col min="29" max="29" width="15" bestFit="1" customWidth="1"/>
  </cols>
  <sheetData>
    <row r="1" spans="1:17" ht="27" customHeight="1" x14ac:dyDescent="0.25">
      <c r="A1" s="8" t="s">
        <v>373</v>
      </c>
      <c r="B1" s="8" t="s">
        <v>376</v>
      </c>
      <c r="C1" s="1" t="s">
        <v>374</v>
      </c>
      <c r="D1" s="1"/>
      <c r="E1" s="1"/>
      <c r="F1" s="1"/>
      <c r="G1" s="1"/>
      <c r="H1" s="1"/>
      <c r="I1" s="1"/>
      <c r="J1" s="9"/>
      <c r="K1" s="9"/>
      <c r="L1" s="9"/>
      <c r="M1" s="6"/>
      <c r="N1" s="6"/>
      <c r="O1" s="6"/>
      <c r="P1" s="1"/>
      <c r="Q1" s="1"/>
    </row>
    <row r="2" spans="1:17" ht="27" customHeight="1" x14ac:dyDescent="0.25">
      <c r="A2" s="8" t="s">
        <v>375</v>
      </c>
      <c r="B2" s="8" t="s">
        <v>377</v>
      </c>
      <c r="C2" s="1" t="s">
        <v>360</v>
      </c>
      <c r="D2" s="1"/>
      <c r="E2" s="1"/>
      <c r="F2" s="1"/>
      <c r="G2" s="1"/>
      <c r="H2" s="1"/>
      <c r="I2" s="1"/>
      <c r="J2" s="9"/>
      <c r="K2" s="9"/>
      <c r="L2" s="9"/>
      <c r="M2" s="6"/>
      <c r="N2" s="6"/>
      <c r="O2" s="6"/>
      <c r="P2" s="1"/>
      <c r="Q2" s="1"/>
    </row>
    <row r="3" spans="1:17" x14ac:dyDescent="0.25">
      <c r="A3" s="11" t="s">
        <v>35</v>
      </c>
      <c r="B3" s="11"/>
      <c r="C3" s="1"/>
      <c r="D3" s="1"/>
      <c r="E3" s="1"/>
      <c r="F3" s="1"/>
      <c r="G3" s="1"/>
      <c r="H3" s="1"/>
      <c r="I3" s="1"/>
      <c r="J3" s="9"/>
      <c r="K3" s="9"/>
      <c r="L3" s="9"/>
      <c r="M3" s="6"/>
      <c r="N3" s="6"/>
      <c r="O3" s="6"/>
      <c r="P3" s="1"/>
      <c r="Q3" s="1"/>
    </row>
    <row r="4" spans="1:17" x14ac:dyDescent="0.25">
      <c r="A4" s="10" t="s">
        <v>372</v>
      </c>
      <c r="B4" s="10"/>
      <c r="C4" s="1"/>
      <c r="D4" s="1"/>
      <c r="E4" s="1"/>
      <c r="F4" s="1"/>
      <c r="G4" s="1"/>
      <c r="H4" s="1"/>
      <c r="I4" s="1"/>
      <c r="J4" s="9"/>
      <c r="K4" s="9"/>
      <c r="L4" s="9"/>
      <c r="M4" s="6"/>
      <c r="N4" s="6"/>
      <c r="O4" s="6"/>
      <c r="P4" s="1"/>
      <c r="Q4" s="1"/>
    </row>
    <row r="5" spans="1:17" x14ac:dyDescent="0.25">
      <c r="A5" t="s">
        <v>5</v>
      </c>
      <c r="B5" t="s">
        <v>6</v>
      </c>
      <c r="C5" t="s">
        <v>8</v>
      </c>
      <c r="D5" t="s">
        <v>9</v>
      </c>
      <c r="E5" t="s">
        <v>3</v>
      </c>
      <c r="F5" t="s">
        <v>7</v>
      </c>
      <c r="G5" t="s">
        <v>14</v>
      </c>
      <c r="H5" t="s">
        <v>4</v>
      </c>
      <c r="I5" t="s">
        <v>10</v>
      </c>
      <c r="J5" t="s">
        <v>11</v>
      </c>
      <c r="K5" t="s">
        <v>12</v>
      </c>
      <c r="L5" t="s">
        <v>13</v>
      </c>
      <c r="M5" t="s">
        <v>42</v>
      </c>
      <c r="N5" t="s">
        <v>43</v>
      </c>
      <c r="O5" t="s">
        <v>70</v>
      </c>
      <c r="P5" t="s">
        <v>335</v>
      </c>
      <c r="Q5" t="s">
        <v>336</v>
      </c>
    </row>
    <row r="6" spans="1:17" x14ac:dyDescent="0.25">
      <c r="A6">
        <v>7</v>
      </c>
      <c r="B6" t="s">
        <v>39</v>
      </c>
      <c r="C6" t="s">
        <v>60</v>
      </c>
      <c r="D6" t="s">
        <v>61</v>
      </c>
      <c r="E6" t="s">
        <v>361</v>
      </c>
      <c r="F6" t="s">
        <v>41</v>
      </c>
      <c r="G6" t="s">
        <v>63</v>
      </c>
      <c r="H6" t="s">
        <v>362</v>
      </c>
      <c r="I6" t="s">
        <v>52</v>
      </c>
      <c r="J6" t="s">
        <v>53</v>
      </c>
      <c r="K6" t="s">
        <v>54</v>
      </c>
      <c r="L6" t="s">
        <v>55</v>
      </c>
      <c r="M6" t="s">
        <v>363</v>
      </c>
      <c r="N6" t="s">
        <v>364</v>
      </c>
      <c r="O6" t="s">
        <v>365</v>
      </c>
      <c r="P6" t="str">
        <f>VLOOKUP(Tabla_Consulta_desde_OdooV13test8[[#This Row],[origen]],Tabla_Consulta1[#All],2,FALSE)</f>
        <v>A00.004036.PAV003</v>
      </c>
      <c r="Q6" t="str">
        <f>VLOOKUP(Tabla_Consulta_desde_OdooV13test8[[#This Row],[origen]],Tabla_Consulta1[#All],3,FALSE)</f>
        <v>BOOK 124/100 V12</v>
      </c>
    </row>
    <row r="7" spans="1:17" x14ac:dyDescent="0.25">
      <c r="A7">
        <v>7</v>
      </c>
      <c r="B7" t="s">
        <v>39</v>
      </c>
      <c r="C7" t="s">
        <v>64</v>
      </c>
      <c r="D7" t="s">
        <v>65</v>
      </c>
      <c r="E7" t="s">
        <v>366</v>
      </c>
      <c r="F7" t="s">
        <v>38</v>
      </c>
      <c r="G7" t="s">
        <v>67</v>
      </c>
      <c r="H7" t="s">
        <v>362</v>
      </c>
      <c r="I7" t="s">
        <v>52</v>
      </c>
      <c r="J7" t="s">
        <v>68</v>
      </c>
      <c r="K7" t="s">
        <v>54</v>
      </c>
      <c r="L7" t="s">
        <v>55</v>
      </c>
      <c r="M7" t="s">
        <v>363</v>
      </c>
      <c r="N7" t="s">
        <v>364</v>
      </c>
      <c r="O7" t="s">
        <v>365</v>
      </c>
      <c r="P7" t="str">
        <f>VLOOKUP(Tabla_Consulta_desde_OdooV13test8[[#This Row],[origen]],Tabla_Consulta1[#All],2,FALSE)</f>
        <v>A00.004036.PAV003</v>
      </c>
      <c r="Q7" t="str">
        <f>VLOOKUP(Tabla_Consulta_desde_OdooV13test8[[#This Row],[origen]],Tabla_Consulta1[#All],3,FALSE)</f>
        <v>BOOK 124/100 V12</v>
      </c>
    </row>
    <row r="8" spans="1:17" x14ac:dyDescent="0.25">
      <c r="A8">
        <v>9</v>
      </c>
      <c r="B8" t="s">
        <v>39</v>
      </c>
      <c r="C8" t="s">
        <v>56</v>
      </c>
      <c r="D8" t="s">
        <v>57</v>
      </c>
      <c r="E8" t="s">
        <v>367</v>
      </c>
      <c r="F8" t="s">
        <v>40</v>
      </c>
      <c r="G8" t="s">
        <v>59</v>
      </c>
      <c r="H8" t="s">
        <v>362</v>
      </c>
      <c r="I8" t="s">
        <v>52</v>
      </c>
      <c r="J8" t="s">
        <v>53</v>
      </c>
      <c r="K8" t="s">
        <v>54</v>
      </c>
      <c r="L8" t="s">
        <v>55</v>
      </c>
      <c r="M8" t="s">
        <v>363</v>
      </c>
      <c r="N8" t="s">
        <v>364</v>
      </c>
      <c r="O8" t="s">
        <v>365</v>
      </c>
      <c r="P8" t="str">
        <f>VLOOKUP(Tabla_Consulta_desde_OdooV13test8[[#This Row],[origen]],Tabla_Consulta1[#All],2,FALSE)</f>
        <v>A00.004036.PAV003</v>
      </c>
      <c r="Q8" t="str">
        <f>VLOOKUP(Tabla_Consulta_desde_OdooV13test8[[#This Row],[origen]],Tabla_Consulta1[#All],3,FALSE)</f>
        <v>BOOK 124/100 V12</v>
      </c>
    </row>
    <row r="10" spans="1:17" x14ac:dyDescent="0.25">
      <c r="B10" s="7"/>
      <c r="G10" s="2"/>
    </row>
    <row r="11" spans="1:17" x14ac:dyDescent="0.25">
      <c r="B11" s="7"/>
    </row>
    <row r="12" spans="1:17" x14ac:dyDescent="0.25">
      <c r="B12" s="7"/>
    </row>
    <row r="13" spans="1:17" x14ac:dyDescent="0.25">
      <c r="G13" s="2"/>
      <c r="I13" s="3"/>
    </row>
    <row r="14" spans="1:17" x14ac:dyDescent="0.25">
      <c r="G14" s="2"/>
      <c r="I14" s="3"/>
    </row>
    <row r="16" spans="1:17" x14ac:dyDescent="0.25">
      <c r="G16" s="5"/>
    </row>
    <row r="18" spans="7:7" x14ac:dyDescent="0.25">
      <c r="G18" s="4"/>
    </row>
  </sheetData>
  <mergeCells count="3">
    <mergeCell ref="J1:L4"/>
    <mergeCell ref="A4:B4"/>
    <mergeCell ref="A3:B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ctualizar_datos">
                <anchor moveWithCells="1" sizeWithCells="1">
                  <from>
                    <xdr:col>5</xdr:col>
                    <xdr:colOff>9525</xdr:colOff>
                    <xdr:row>0</xdr:row>
                    <xdr:rowOff>0</xdr:rowOff>
                  </from>
                  <to>
                    <xdr:col>6</xdr:col>
                    <xdr:colOff>123825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Optiplan">
                <anchor moveWithCells="1" sizeWithCells="1"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6</xdr:col>
                    <xdr:colOff>1552575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rocesar_xml_python">
                <anchor moveWithCells="1" sizeWithCells="1">
                  <from>
                    <xdr:col>6</xdr:col>
                    <xdr:colOff>1552575</xdr:colOff>
                    <xdr:row>0</xdr:row>
                    <xdr:rowOff>0</xdr:rowOff>
                  </from>
                  <to>
                    <xdr:col>8</xdr:col>
                    <xdr:colOff>276225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Limpiar_plantilla">
                <anchor moveWithCells="1" sizeWithCells="1">
                  <from>
                    <xdr:col>8</xdr:col>
                    <xdr:colOff>285750</xdr:colOff>
                    <xdr:row>0</xdr:row>
                    <xdr:rowOff>0</xdr:rowOff>
                  </from>
                  <to>
                    <xdr:col>9</xdr:col>
                    <xdr:colOff>828675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8E540-BE79-41DE-85CC-9F3694C7C47A}">
  <sheetPr codeName="Hoja1"/>
  <dimension ref="A1:C179"/>
  <sheetViews>
    <sheetView workbookViewId="0">
      <selection sqref="A1:C177"/>
    </sheetView>
  </sheetViews>
  <sheetFormatPr baseColWidth="10" defaultRowHeight="15" x14ac:dyDescent="0.25"/>
  <cols>
    <col min="1" max="1" width="17.5703125" bestFit="1" customWidth="1"/>
    <col min="2" max="2" width="18.85546875" bestFit="1" customWidth="1"/>
    <col min="3" max="3" width="43.85546875" bestFit="1" customWidth="1"/>
  </cols>
  <sheetData>
    <row r="1" spans="1:3" x14ac:dyDescent="0.25">
      <c r="A1" t="s">
        <v>69</v>
      </c>
      <c r="B1" t="s">
        <v>71</v>
      </c>
      <c r="C1" t="s">
        <v>14</v>
      </c>
    </row>
    <row r="2" spans="1:3" x14ac:dyDescent="0.25">
      <c r="A2" t="s">
        <v>337</v>
      </c>
      <c r="B2" t="s">
        <v>338</v>
      </c>
      <c r="C2" t="s">
        <v>339</v>
      </c>
    </row>
    <row r="3" spans="1:3" x14ac:dyDescent="0.25">
      <c r="A3" t="s">
        <v>340</v>
      </c>
      <c r="B3" t="s">
        <v>341</v>
      </c>
      <c r="C3" t="s">
        <v>342</v>
      </c>
    </row>
    <row r="4" spans="1:3" x14ac:dyDescent="0.25">
      <c r="A4" t="s">
        <v>343</v>
      </c>
      <c r="B4" t="s">
        <v>344</v>
      </c>
      <c r="C4" t="s">
        <v>345</v>
      </c>
    </row>
    <row r="5" spans="1:3" x14ac:dyDescent="0.25">
      <c r="A5" t="s">
        <v>346</v>
      </c>
      <c r="B5" t="s">
        <v>347</v>
      </c>
      <c r="C5" t="s">
        <v>345</v>
      </c>
    </row>
    <row r="6" spans="1:3" x14ac:dyDescent="0.25">
      <c r="A6" t="s">
        <v>348</v>
      </c>
      <c r="B6" t="s">
        <v>349</v>
      </c>
      <c r="C6" t="s">
        <v>339</v>
      </c>
    </row>
    <row r="7" spans="1:3" x14ac:dyDescent="0.25">
      <c r="A7" t="s">
        <v>350</v>
      </c>
      <c r="B7" t="s">
        <v>351</v>
      </c>
      <c r="C7" t="s">
        <v>342</v>
      </c>
    </row>
    <row r="8" spans="1:3" x14ac:dyDescent="0.25">
      <c r="A8" t="s">
        <v>181</v>
      </c>
      <c r="B8" t="s">
        <v>182</v>
      </c>
      <c r="C8" t="s">
        <v>98</v>
      </c>
    </row>
    <row r="9" spans="1:3" x14ac:dyDescent="0.25">
      <c r="A9" t="s">
        <v>183</v>
      </c>
      <c r="B9" t="s">
        <v>182</v>
      </c>
      <c r="C9" t="s">
        <v>98</v>
      </c>
    </row>
    <row r="10" spans="1:3" x14ac:dyDescent="0.25">
      <c r="A10" t="s">
        <v>189</v>
      </c>
      <c r="B10" t="s">
        <v>164</v>
      </c>
      <c r="C10" t="s">
        <v>113</v>
      </c>
    </row>
    <row r="11" spans="1:3" x14ac:dyDescent="0.25">
      <c r="A11" t="s">
        <v>115</v>
      </c>
      <c r="B11" t="s">
        <v>116</v>
      </c>
      <c r="C11" t="s">
        <v>113</v>
      </c>
    </row>
    <row r="12" spans="1:3" x14ac:dyDescent="0.25">
      <c r="A12" t="s">
        <v>190</v>
      </c>
      <c r="B12" t="s">
        <v>164</v>
      </c>
      <c r="C12" t="s">
        <v>113</v>
      </c>
    </row>
    <row r="13" spans="1:3" x14ac:dyDescent="0.25">
      <c r="A13" t="s">
        <v>111</v>
      </c>
      <c r="B13" t="s">
        <v>112</v>
      </c>
      <c r="C13" t="s">
        <v>113</v>
      </c>
    </row>
    <row r="14" spans="1:3" x14ac:dyDescent="0.25">
      <c r="A14" t="s">
        <v>186</v>
      </c>
      <c r="B14" t="s">
        <v>164</v>
      </c>
      <c r="C14" t="s">
        <v>113</v>
      </c>
    </row>
    <row r="15" spans="1:3" x14ac:dyDescent="0.25">
      <c r="A15" t="s">
        <v>185</v>
      </c>
      <c r="B15" t="s">
        <v>164</v>
      </c>
      <c r="C15" t="s">
        <v>113</v>
      </c>
    </row>
    <row r="16" spans="1:3" x14ac:dyDescent="0.25">
      <c r="A16" t="s">
        <v>129</v>
      </c>
      <c r="B16" t="s">
        <v>130</v>
      </c>
      <c r="C16" t="s">
        <v>131</v>
      </c>
    </row>
    <row r="17" spans="1:3" x14ac:dyDescent="0.25">
      <c r="A17" t="s">
        <v>96</v>
      </c>
      <c r="B17" t="s">
        <v>97</v>
      </c>
      <c r="C17" t="s">
        <v>98</v>
      </c>
    </row>
    <row r="18" spans="1:3" x14ac:dyDescent="0.25">
      <c r="A18" t="s">
        <v>191</v>
      </c>
      <c r="B18" t="s">
        <v>130</v>
      </c>
      <c r="C18" t="s">
        <v>131</v>
      </c>
    </row>
    <row r="19" spans="1:3" x14ac:dyDescent="0.25">
      <c r="A19" t="s">
        <v>184</v>
      </c>
      <c r="B19" t="s">
        <v>97</v>
      </c>
      <c r="C19" t="s">
        <v>98</v>
      </c>
    </row>
    <row r="20" spans="1:3" x14ac:dyDescent="0.25">
      <c r="A20" t="s">
        <v>99</v>
      </c>
      <c r="B20" t="s">
        <v>100</v>
      </c>
      <c r="C20" t="s">
        <v>101</v>
      </c>
    </row>
    <row r="21" spans="1:3" x14ac:dyDescent="0.25">
      <c r="A21" t="s">
        <v>125</v>
      </c>
      <c r="B21" t="s">
        <v>100</v>
      </c>
      <c r="C21" t="s">
        <v>101</v>
      </c>
    </row>
    <row r="22" spans="1:3" x14ac:dyDescent="0.25">
      <c r="A22" t="s">
        <v>126</v>
      </c>
      <c r="B22" t="s">
        <v>100</v>
      </c>
      <c r="C22" t="s">
        <v>101</v>
      </c>
    </row>
    <row r="23" spans="1:3" x14ac:dyDescent="0.25">
      <c r="A23" t="s">
        <v>127</v>
      </c>
      <c r="B23" t="s">
        <v>100</v>
      </c>
      <c r="C23" t="s">
        <v>101</v>
      </c>
    </row>
    <row r="24" spans="1:3" x14ac:dyDescent="0.25">
      <c r="A24" t="s">
        <v>128</v>
      </c>
      <c r="B24" t="s">
        <v>100</v>
      </c>
      <c r="C24" t="s">
        <v>101</v>
      </c>
    </row>
    <row r="25" spans="1:3" x14ac:dyDescent="0.25">
      <c r="A25" t="s">
        <v>209</v>
      </c>
      <c r="B25" t="s">
        <v>164</v>
      </c>
      <c r="C25" t="s">
        <v>113</v>
      </c>
    </row>
    <row r="26" spans="1:3" x14ac:dyDescent="0.25">
      <c r="A26" t="s">
        <v>192</v>
      </c>
      <c r="B26" t="s">
        <v>164</v>
      </c>
      <c r="C26" t="s">
        <v>113</v>
      </c>
    </row>
    <row r="27" spans="1:3" x14ac:dyDescent="0.25">
      <c r="A27" t="s">
        <v>218</v>
      </c>
      <c r="B27" t="s">
        <v>164</v>
      </c>
      <c r="C27" t="s">
        <v>113</v>
      </c>
    </row>
    <row r="28" spans="1:3" x14ac:dyDescent="0.25">
      <c r="A28" t="s">
        <v>215</v>
      </c>
      <c r="B28" t="s">
        <v>164</v>
      </c>
      <c r="C28" t="s">
        <v>113</v>
      </c>
    </row>
    <row r="29" spans="1:3" x14ac:dyDescent="0.25">
      <c r="A29" t="s">
        <v>219</v>
      </c>
      <c r="B29" t="s">
        <v>164</v>
      </c>
      <c r="C29" t="s">
        <v>113</v>
      </c>
    </row>
    <row r="30" spans="1:3" x14ac:dyDescent="0.25">
      <c r="A30" t="s">
        <v>220</v>
      </c>
      <c r="B30" t="s">
        <v>164</v>
      </c>
      <c r="C30" t="s">
        <v>113</v>
      </c>
    </row>
    <row r="31" spans="1:3" x14ac:dyDescent="0.25">
      <c r="A31" t="s">
        <v>163</v>
      </c>
      <c r="B31" t="s">
        <v>164</v>
      </c>
      <c r="C31" t="s">
        <v>113</v>
      </c>
    </row>
    <row r="32" spans="1:3" x14ac:dyDescent="0.25">
      <c r="A32" t="s">
        <v>167</v>
      </c>
      <c r="B32" t="s">
        <v>164</v>
      </c>
      <c r="C32" t="s">
        <v>113</v>
      </c>
    </row>
    <row r="33" spans="1:3" x14ac:dyDescent="0.25">
      <c r="A33" t="s">
        <v>194</v>
      </c>
      <c r="B33" t="s">
        <v>172</v>
      </c>
      <c r="C33" t="s">
        <v>173</v>
      </c>
    </row>
    <row r="34" spans="1:3" x14ac:dyDescent="0.25">
      <c r="A34" t="s">
        <v>197</v>
      </c>
      <c r="B34" t="s">
        <v>172</v>
      </c>
      <c r="C34" t="s">
        <v>173</v>
      </c>
    </row>
    <row r="35" spans="1:3" x14ac:dyDescent="0.25">
      <c r="A35" t="s">
        <v>208</v>
      </c>
      <c r="B35" t="s">
        <v>203</v>
      </c>
      <c r="C35" t="s">
        <v>204</v>
      </c>
    </row>
    <row r="36" spans="1:3" x14ac:dyDescent="0.25">
      <c r="A36" t="s">
        <v>207</v>
      </c>
      <c r="B36" t="s">
        <v>203</v>
      </c>
      <c r="C36" t="s">
        <v>204</v>
      </c>
    </row>
    <row r="37" spans="1:3" x14ac:dyDescent="0.25">
      <c r="A37" t="s">
        <v>162</v>
      </c>
      <c r="B37" t="s">
        <v>130</v>
      </c>
      <c r="C37" t="s">
        <v>131</v>
      </c>
    </row>
    <row r="38" spans="1:3" x14ac:dyDescent="0.25">
      <c r="A38" t="s">
        <v>227</v>
      </c>
      <c r="B38" t="s">
        <v>211</v>
      </c>
      <c r="C38" t="s">
        <v>104</v>
      </c>
    </row>
    <row r="39" spans="1:3" x14ac:dyDescent="0.25">
      <c r="A39" t="s">
        <v>196</v>
      </c>
      <c r="B39" t="s">
        <v>172</v>
      </c>
      <c r="C39" t="s">
        <v>173</v>
      </c>
    </row>
    <row r="40" spans="1:3" x14ac:dyDescent="0.25">
      <c r="A40" t="s">
        <v>210</v>
      </c>
      <c r="B40" t="s">
        <v>211</v>
      </c>
      <c r="C40" t="s">
        <v>104</v>
      </c>
    </row>
    <row r="41" spans="1:3" x14ac:dyDescent="0.25">
      <c r="A41" t="s">
        <v>206</v>
      </c>
      <c r="B41" t="s">
        <v>203</v>
      </c>
      <c r="C41" t="s">
        <v>204</v>
      </c>
    </row>
    <row r="42" spans="1:3" x14ac:dyDescent="0.25">
      <c r="A42" t="s">
        <v>200</v>
      </c>
      <c r="B42" t="s">
        <v>172</v>
      </c>
      <c r="C42" t="s">
        <v>173</v>
      </c>
    </row>
    <row r="43" spans="1:3" x14ac:dyDescent="0.25">
      <c r="A43" t="s">
        <v>135</v>
      </c>
      <c r="B43" t="s">
        <v>130</v>
      </c>
      <c r="C43" t="s">
        <v>131</v>
      </c>
    </row>
    <row r="44" spans="1:3" x14ac:dyDescent="0.25">
      <c r="A44" t="s">
        <v>195</v>
      </c>
      <c r="B44" t="s">
        <v>172</v>
      </c>
      <c r="C44" t="s">
        <v>173</v>
      </c>
    </row>
    <row r="45" spans="1:3" x14ac:dyDescent="0.25">
      <c r="A45" t="s">
        <v>136</v>
      </c>
      <c r="B45" t="s">
        <v>130</v>
      </c>
      <c r="C45" t="s">
        <v>131</v>
      </c>
    </row>
    <row r="46" spans="1:3" x14ac:dyDescent="0.25">
      <c r="A46" t="s">
        <v>174</v>
      </c>
      <c r="B46" t="s">
        <v>172</v>
      </c>
      <c r="C46" t="s">
        <v>173</v>
      </c>
    </row>
    <row r="47" spans="1:3" x14ac:dyDescent="0.25">
      <c r="A47" t="s">
        <v>216</v>
      </c>
      <c r="B47" t="s">
        <v>130</v>
      </c>
      <c r="C47" t="s">
        <v>131</v>
      </c>
    </row>
    <row r="48" spans="1:3" x14ac:dyDescent="0.25">
      <c r="A48" t="s">
        <v>199</v>
      </c>
      <c r="B48" t="s">
        <v>172</v>
      </c>
      <c r="C48" t="s">
        <v>173</v>
      </c>
    </row>
    <row r="49" spans="1:3" x14ac:dyDescent="0.25">
      <c r="A49" t="s">
        <v>217</v>
      </c>
      <c r="B49" t="s">
        <v>130</v>
      </c>
      <c r="C49" t="s">
        <v>131</v>
      </c>
    </row>
    <row r="50" spans="1:3" x14ac:dyDescent="0.25">
      <c r="A50" t="s">
        <v>198</v>
      </c>
      <c r="B50" t="s">
        <v>172</v>
      </c>
      <c r="C50" t="s">
        <v>173</v>
      </c>
    </row>
    <row r="51" spans="1:3" x14ac:dyDescent="0.25">
      <c r="A51" t="s">
        <v>267</v>
      </c>
      <c r="B51" t="s">
        <v>268</v>
      </c>
      <c r="C51" t="s">
        <v>170</v>
      </c>
    </row>
    <row r="52" spans="1:3" x14ac:dyDescent="0.25">
      <c r="A52" t="s">
        <v>266</v>
      </c>
      <c r="B52" t="s">
        <v>231</v>
      </c>
      <c r="C52" t="s">
        <v>232</v>
      </c>
    </row>
    <row r="53" spans="1:3" x14ac:dyDescent="0.25">
      <c r="A53" t="s">
        <v>221</v>
      </c>
      <c r="B53" t="s">
        <v>222</v>
      </c>
      <c r="C53" t="s">
        <v>223</v>
      </c>
    </row>
    <row r="54" spans="1:3" x14ac:dyDescent="0.25">
      <c r="A54" t="s">
        <v>246</v>
      </c>
      <c r="B54" t="s">
        <v>239</v>
      </c>
      <c r="C54" t="s">
        <v>240</v>
      </c>
    </row>
    <row r="55" spans="1:3" x14ac:dyDescent="0.25">
      <c r="A55" t="s">
        <v>247</v>
      </c>
      <c r="B55" t="s">
        <v>231</v>
      </c>
      <c r="C55" t="s">
        <v>232</v>
      </c>
    </row>
    <row r="56" spans="1:3" x14ac:dyDescent="0.25">
      <c r="A56" t="s">
        <v>241</v>
      </c>
      <c r="B56" t="s">
        <v>242</v>
      </c>
      <c r="C56" t="s">
        <v>243</v>
      </c>
    </row>
    <row r="57" spans="1:3" x14ac:dyDescent="0.25">
      <c r="A57" t="s">
        <v>201</v>
      </c>
      <c r="B57" t="s">
        <v>172</v>
      </c>
      <c r="C57" t="s">
        <v>173</v>
      </c>
    </row>
    <row r="58" spans="1:3" x14ac:dyDescent="0.25">
      <c r="A58" t="s">
        <v>325</v>
      </c>
      <c r="B58" t="s">
        <v>326</v>
      </c>
      <c r="C58" t="s">
        <v>312</v>
      </c>
    </row>
    <row r="59" spans="1:3" x14ac:dyDescent="0.25">
      <c r="A59" t="s">
        <v>205</v>
      </c>
      <c r="B59" t="s">
        <v>203</v>
      </c>
      <c r="C59" t="s">
        <v>204</v>
      </c>
    </row>
    <row r="60" spans="1:3" x14ac:dyDescent="0.25">
      <c r="A60" t="s">
        <v>234</v>
      </c>
      <c r="B60" t="s">
        <v>235</v>
      </c>
      <c r="C60" t="s">
        <v>236</v>
      </c>
    </row>
    <row r="61" spans="1:3" x14ac:dyDescent="0.25">
      <c r="A61" t="s">
        <v>254</v>
      </c>
      <c r="B61" t="s">
        <v>222</v>
      </c>
      <c r="C61" t="s">
        <v>223</v>
      </c>
    </row>
    <row r="62" spans="1:3" x14ac:dyDescent="0.25">
      <c r="A62" t="s">
        <v>244</v>
      </c>
      <c r="B62" t="s">
        <v>242</v>
      </c>
      <c r="C62" t="s">
        <v>243</v>
      </c>
    </row>
    <row r="63" spans="1:3" x14ac:dyDescent="0.25">
      <c r="A63" t="s">
        <v>238</v>
      </c>
      <c r="B63" t="s">
        <v>239</v>
      </c>
      <c r="C63" t="s">
        <v>240</v>
      </c>
    </row>
    <row r="64" spans="1:3" x14ac:dyDescent="0.25">
      <c r="A64" t="s">
        <v>202</v>
      </c>
      <c r="B64" t="s">
        <v>203</v>
      </c>
      <c r="C64" t="s">
        <v>204</v>
      </c>
    </row>
    <row r="65" spans="1:3" x14ac:dyDescent="0.25">
      <c r="A65" t="s">
        <v>237</v>
      </c>
      <c r="B65" t="s">
        <v>235</v>
      </c>
      <c r="C65" t="s">
        <v>236</v>
      </c>
    </row>
    <row r="66" spans="1:3" x14ac:dyDescent="0.25">
      <c r="A66" t="s">
        <v>233</v>
      </c>
      <c r="B66" t="s">
        <v>222</v>
      </c>
      <c r="C66" t="s">
        <v>223</v>
      </c>
    </row>
    <row r="67" spans="1:3" x14ac:dyDescent="0.25">
      <c r="A67" t="s">
        <v>245</v>
      </c>
      <c r="B67" t="s">
        <v>242</v>
      </c>
      <c r="C67" t="s">
        <v>243</v>
      </c>
    </row>
    <row r="68" spans="1:3" x14ac:dyDescent="0.25">
      <c r="A68" t="s">
        <v>255</v>
      </c>
      <c r="B68" t="s">
        <v>239</v>
      </c>
      <c r="C68" t="s">
        <v>240</v>
      </c>
    </row>
    <row r="69" spans="1:3" x14ac:dyDescent="0.25">
      <c r="A69" t="s">
        <v>171</v>
      </c>
      <c r="B69" t="s">
        <v>172</v>
      </c>
      <c r="C69" t="s">
        <v>173</v>
      </c>
    </row>
    <row r="70" spans="1:3" x14ac:dyDescent="0.25">
      <c r="A70" t="s">
        <v>214</v>
      </c>
      <c r="B70" t="s">
        <v>211</v>
      </c>
      <c r="C70" t="s">
        <v>104</v>
      </c>
    </row>
    <row r="71" spans="1:3" x14ac:dyDescent="0.25">
      <c r="A71" t="s">
        <v>224</v>
      </c>
      <c r="B71" t="s">
        <v>213</v>
      </c>
      <c r="C71" t="s">
        <v>104</v>
      </c>
    </row>
    <row r="72" spans="1:3" x14ac:dyDescent="0.25">
      <c r="A72" t="s">
        <v>307</v>
      </c>
      <c r="B72" t="s">
        <v>308</v>
      </c>
      <c r="C72" t="s">
        <v>309</v>
      </c>
    </row>
    <row r="73" spans="1:3" x14ac:dyDescent="0.25">
      <c r="A73" t="s">
        <v>188</v>
      </c>
      <c r="B73" t="s">
        <v>172</v>
      </c>
      <c r="C73" t="s">
        <v>173</v>
      </c>
    </row>
    <row r="74" spans="1:3" x14ac:dyDescent="0.25">
      <c r="A74" t="s">
        <v>225</v>
      </c>
      <c r="B74" t="s">
        <v>213</v>
      </c>
      <c r="C74" t="s">
        <v>104</v>
      </c>
    </row>
    <row r="75" spans="1:3" x14ac:dyDescent="0.25">
      <c r="A75" t="s">
        <v>226</v>
      </c>
      <c r="B75" t="s">
        <v>213</v>
      </c>
      <c r="C75" t="s">
        <v>104</v>
      </c>
    </row>
    <row r="76" spans="1:3" x14ac:dyDescent="0.25">
      <c r="A76" t="s">
        <v>330</v>
      </c>
      <c r="B76" t="s">
        <v>106</v>
      </c>
      <c r="C76" t="s">
        <v>107</v>
      </c>
    </row>
    <row r="77" spans="1:3" x14ac:dyDescent="0.25">
      <c r="A77" t="s">
        <v>265</v>
      </c>
      <c r="B77" t="s">
        <v>103</v>
      </c>
      <c r="C77" t="s">
        <v>104</v>
      </c>
    </row>
    <row r="78" spans="1:3" x14ac:dyDescent="0.25">
      <c r="A78" t="s">
        <v>132</v>
      </c>
      <c r="B78" t="s">
        <v>133</v>
      </c>
      <c r="C78" t="s">
        <v>134</v>
      </c>
    </row>
    <row r="79" spans="1:3" x14ac:dyDescent="0.25">
      <c r="A79" t="s">
        <v>327</v>
      </c>
      <c r="B79" t="s">
        <v>328</v>
      </c>
      <c r="C79" t="s">
        <v>329</v>
      </c>
    </row>
    <row r="80" spans="1:3" x14ac:dyDescent="0.25">
      <c r="A80" t="s">
        <v>229</v>
      </c>
      <c r="B80" t="s">
        <v>169</v>
      </c>
      <c r="C80" t="s">
        <v>170</v>
      </c>
    </row>
    <row r="81" spans="1:3" x14ac:dyDescent="0.25">
      <c r="A81" t="s">
        <v>230</v>
      </c>
      <c r="B81" t="s">
        <v>231</v>
      </c>
      <c r="C81" t="s">
        <v>232</v>
      </c>
    </row>
    <row r="82" spans="1:3" x14ac:dyDescent="0.25">
      <c r="A82" t="s">
        <v>168</v>
      </c>
      <c r="B82" t="s">
        <v>169</v>
      </c>
      <c r="C82" t="s">
        <v>170</v>
      </c>
    </row>
    <row r="83" spans="1:3" x14ac:dyDescent="0.25">
      <c r="A83" t="s">
        <v>228</v>
      </c>
      <c r="B83" t="s">
        <v>169</v>
      </c>
      <c r="C83" t="s">
        <v>170</v>
      </c>
    </row>
    <row r="84" spans="1:3" x14ac:dyDescent="0.25">
      <c r="A84" t="s">
        <v>212</v>
      </c>
      <c r="B84" t="s">
        <v>213</v>
      </c>
      <c r="C84" t="s">
        <v>104</v>
      </c>
    </row>
    <row r="85" spans="1:3" x14ac:dyDescent="0.25">
      <c r="A85" t="s">
        <v>332</v>
      </c>
      <c r="B85" t="s">
        <v>333</v>
      </c>
      <c r="C85" t="s">
        <v>334</v>
      </c>
    </row>
    <row r="86" spans="1:3" x14ac:dyDescent="0.25">
      <c r="A86" t="s">
        <v>305</v>
      </c>
      <c r="B86" t="s">
        <v>306</v>
      </c>
      <c r="C86" t="s">
        <v>107</v>
      </c>
    </row>
    <row r="87" spans="1:3" x14ac:dyDescent="0.25">
      <c r="A87" t="s">
        <v>304</v>
      </c>
      <c r="B87" t="s">
        <v>106</v>
      </c>
      <c r="C87" t="s">
        <v>107</v>
      </c>
    </row>
    <row r="88" spans="1:3" x14ac:dyDescent="0.25">
      <c r="A88" t="s">
        <v>262</v>
      </c>
      <c r="B88" t="s">
        <v>263</v>
      </c>
      <c r="C88" t="s">
        <v>264</v>
      </c>
    </row>
    <row r="89" spans="1:3" x14ac:dyDescent="0.25">
      <c r="A89" t="s">
        <v>259</v>
      </c>
      <c r="B89" t="s">
        <v>260</v>
      </c>
      <c r="C89" t="s">
        <v>261</v>
      </c>
    </row>
    <row r="90" spans="1:3" x14ac:dyDescent="0.25">
      <c r="A90" t="s">
        <v>123</v>
      </c>
      <c r="B90" t="s">
        <v>124</v>
      </c>
      <c r="C90" t="s">
        <v>113</v>
      </c>
    </row>
    <row r="91" spans="1:3" x14ac:dyDescent="0.25">
      <c r="A91" t="s">
        <v>258</v>
      </c>
      <c r="B91" t="s">
        <v>38</v>
      </c>
      <c r="C91" t="s">
        <v>67</v>
      </c>
    </row>
    <row r="92" spans="1:3" x14ac:dyDescent="0.25">
      <c r="A92" t="s">
        <v>257</v>
      </c>
      <c r="B92" t="s">
        <v>40</v>
      </c>
      <c r="C92" t="s">
        <v>59</v>
      </c>
    </row>
    <row r="93" spans="1:3" x14ac:dyDescent="0.25">
      <c r="A93" t="s">
        <v>256</v>
      </c>
      <c r="B93" t="s">
        <v>41</v>
      </c>
      <c r="C93" t="s">
        <v>63</v>
      </c>
    </row>
    <row r="94" spans="1:3" x14ac:dyDescent="0.25">
      <c r="A94" t="s">
        <v>93</v>
      </c>
      <c r="B94" t="s">
        <v>44</v>
      </c>
      <c r="C94" t="s">
        <v>50</v>
      </c>
    </row>
    <row r="95" spans="1:3" x14ac:dyDescent="0.25">
      <c r="A95" t="s">
        <v>331</v>
      </c>
      <c r="B95" t="s">
        <v>109</v>
      </c>
      <c r="C95" t="s">
        <v>110</v>
      </c>
    </row>
    <row r="96" spans="1:3" x14ac:dyDescent="0.25">
      <c r="A96" t="s">
        <v>313</v>
      </c>
      <c r="B96" t="s">
        <v>314</v>
      </c>
      <c r="C96" t="s">
        <v>312</v>
      </c>
    </row>
    <row r="97" spans="1:3" x14ac:dyDescent="0.25">
      <c r="A97" t="s">
        <v>310</v>
      </c>
      <c r="B97" t="s">
        <v>311</v>
      </c>
      <c r="C97" t="s">
        <v>312</v>
      </c>
    </row>
    <row r="98" spans="1:3" x14ac:dyDescent="0.25">
      <c r="A98" t="s">
        <v>322</v>
      </c>
      <c r="B98" t="s">
        <v>314</v>
      </c>
      <c r="C98" t="s">
        <v>312</v>
      </c>
    </row>
    <row r="99" spans="1:3" x14ac:dyDescent="0.25">
      <c r="A99" t="s">
        <v>315</v>
      </c>
      <c r="B99" t="s">
        <v>311</v>
      </c>
      <c r="C99" t="s">
        <v>312</v>
      </c>
    </row>
    <row r="100" spans="1:3" x14ac:dyDescent="0.25">
      <c r="A100" t="s">
        <v>248</v>
      </c>
      <c r="B100" t="s">
        <v>249</v>
      </c>
      <c r="C100" t="s">
        <v>250</v>
      </c>
    </row>
    <row r="101" spans="1:3" x14ac:dyDescent="0.25">
      <c r="A101" t="s">
        <v>187</v>
      </c>
      <c r="B101" t="s">
        <v>166</v>
      </c>
      <c r="C101" t="s">
        <v>104</v>
      </c>
    </row>
    <row r="102" spans="1:3" x14ac:dyDescent="0.25">
      <c r="A102" t="s">
        <v>193</v>
      </c>
      <c r="B102" t="s">
        <v>166</v>
      </c>
      <c r="C102" t="s">
        <v>104</v>
      </c>
    </row>
    <row r="103" spans="1:3" x14ac:dyDescent="0.25">
      <c r="A103" t="s">
        <v>102</v>
      </c>
      <c r="B103" t="s">
        <v>103</v>
      </c>
      <c r="C103" t="s">
        <v>104</v>
      </c>
    </row>
    <row r="104" spans="1:3" x14ac:dyDescent="0.25">
      <c r="A104" t="s">
        <v>251</v>
      </c>
      <c r="B104" t="s">
        <v>252</v>
      </c>
      <c r="C104" t="s">
        <v>253</v>
      </c>
    </row>
    <row r="105" spans="1:3" x14ac:dyDescent="0.25">
      <c r="A105" t="s">
        <v>78</v>
      </c>
      <c r="B105" t="s">
        <v>79</v>
      </c>
      <c r="C105" t="s">
        <v>80</v>
      </c>
    </row>
    <row r="106" spans="1:3" x14ac:dyDescent="0.25">
      <c r="A106" t="s">
        <v>81</v>
      </c>
      <c r="B106" t="s">
        <v>82</v>
      </c>
      <c r="C106" t="s">
        <v>83</v>
      </c>
    </row>
    <row r="107" spans="1:3" x14ac:dyDescent="0.25">
      <c r="A107" t="s">
        <v>105</v>
      </c>
      <c r="B107" t="s">
        <v>106</v>
      </c>
      <c r="C107" t="s">
        <v>107</v>
      </c>
    </row>
    <row r="108" spans="1:3" x14ac:dyDescent="0.25">
      <c r="A108" t="s">
        <v>84</v>
      </c>
      <c r="B108" t="s">
        <v>73</v>
      </c>
      <c r="C108" t="s">
        <v>74</v>
      </c>
    </row>
    <row r="109" spans="1:3" x14ac:dyDescent="0.25">
      <c r="A109" t="s">
        <v>85</v>
      </c>
      <c r="B109" t="s">
        <v>73</v>
      </c>
      <c r="C109" t="s">
        <v>74</v>
      </c>
    </row>
    <row r="110" spans="1:3" x14ac:dyDescent="0.25">
      <c r="A110" t="s">
        <v>86</v>
      </c>
      <c r="B110" t="s">
        <v>73</v>
      </c>
      <c r="C110" t="s">
        <v>74</v>
      </c>
    </row>
    <row r="111" spans="1:3" x14ac:dyDescent="0.25">
      <c r="A111" t="s">
        <v>87</v>
      </c>
      <c r="B111" t="s">
        <v>73</v>
      </c>
      <c r="C111" t="s">
        <v>74</v>
      </c>
    </row>
    <row r="112" spans="1:3" x14ac:dyDescent="0.25">
      <c r="A112" t="s">
        <v>72</v>
      </c>
      <c r="B112" t="s">
        <v>73</v>
      </c>
      <c r="C112" t="s">
        <v>74</v>
      </c>
    </row>
    <row r="113" spans="1:3" x14ac:dyDescent="0.25">
      <c r="A113" t="s">
        <v>51</v>
      </c>
      <c r="B113" t="s">
        <v>124</v>
      </c>
      <c r="C113" t="s">
        <v>113</v>
      </c>
    </row>
    <row r="114" spans="1:3" x14ac:dyDescent="0.25">
      <c r="A114" t="s">
        <v>66</v>
      </c>
      <c r="B114" t="s">
        <v>38</v>
      </c>
      <c r="C114" t="s">
        <v>67</v>
      </c>
    </row>
    <row r="115" spans="1:3" x14ac:dyDescent="0.25">
      <c r="A115" t="s">
        <v>58</v>
      </c>
      <c r="B115" t="s">
        <v>40</v>
      </c>
      <c r="C115" t="s">
        <v>59</v>
      </c>
    </row>
    <row r="116" spans="1:3" x14ac:dyDescent="0.25">
      <c r="A116" t="s">
        <v>62</v>
      </c>
      <c r="B116" t="s">
        <v>41</v>
      </c>
      <c r="C116" t="s">
        <v>63</v>
      </c>
    </row>
    <row r="117" spans="1:3" x14ac:dyDescent="0.25">
      <c r="A117" t="s">
        <v>49</v>
      </c>
      <c r="B117" t="s">
        <v>44</v>
      </c>
      <c r="C117" t="s">
        <v>50</v>
      </c>
    </row>
    <row r="118" spans="1:3" x14ac:dyDescent="0.25">
      <c r="A118" t="s">
        <v>108</v>
      </c>
      <c r="B118" t="s">
        <v>109</v>
      </c>
      <c r="C118" t="s">
        <v>110</v>
      </c>
    </row>
    <row r="119" spans="1:3" x14ac:dyDescent="0.25">
      <c r="A119" t="s">
        <v>180</v>
      </c>
      <c r="B119" t="s">
        <v>73</v>
      </c>
      <c r="C119" t="s">
        <v>74</v>
      </c>
    </row>
    <row r="120" spans="1:3" x14ac:dyDescent="0.25">
      <c r="A120" t="s">
        <v>165</v>
      </c>
      <c r="B120" t="s">
        <v>166</v>
      </c>
      <c r="C120" t="s">
        <v>104</v>
      </c>
    </row>
    <row r="121" spans="1:3" x14ac:dyDescent="0.25">
      <c r="A121" t="s">
        <v>362</v>
      </c>
      <c r="B121" t="s">
        <v>124</v>
      </c>
      <c r="C121" t="s">
        <v>113</v>
      </c>
    </row>
    <row r="122" spans="1:3" x14ac:dyDescent="0.25">
      <c r="A122" t="s">
        <v>366</v>
      </c>
      <c r="B122" t="s">
        <v>38</v>
      </c>
      <c r="C122" t="s">
        <v>67</v>
      </c>
    </row>
    <row r="123" spans="1:3" x14ac:dyDescent="0.25">
      <c r="A123" t="s">
        <v>367</v>
      </c>
      <c r="B123" t="s">
        <v>40</v>
      </c>
      <c r="C123" t="s">
        <v>59</v>
      </c>
    </row>
    <row r="124" spans="1:3" x14ac:dyDescent="0.25">
      <c r="A124" t="s">
        <v>361</v>
      </c>
      <c r="B124" t="s">
        <v>41</v>
      </c>
      <c r="C124" t="s">
        <v>63</v>
      </c>
    </row>
    <row r="125" spans="1:3" x14ac:dyDescent="0.25">
      <c r="A125" t="s">
        <v>368</v>
      </c>
      <c r="B125" t="s">
        <v>44</v>
      </c>
      <c r="C125" t="s">
        <v>50</v>
      </c>
    </row>
    <row r="126" spans="1:3" x14ac:dyDescent="0.25">
      <c r="A126" t="s">
        <v>369</v>
      </c>
      <c r="B126" t="s">
        <v>109</v>
      </c>
      <c r="C126" t="s">
        <v>110</v>
      </c>
    </row>
    <row r="127" spans="1:3" x14ac:dyDescent="0.25">
      <c r="A127" t="s">
        <v>323</v>
      </c>
      <c r="B127" t="s">
        <v>317</v>
      </c>
      <c r="C127" t="s">
        <v>90</v>
      </c>
    </row>
    <row r="128" spans="1:3" x14ac:dyDescent="0.25">
      <c r="A128" t="s">
        <v>316</v>
      </c>
      <c r="B128" t="s">
        <v>317</v>
      </c>
      <c r="C128" t="s">
        <v>90</v>
      </c>
    </row>
    <row r="129" spans="1:3" x14ac:dyDescent="0.25">
      <c r="A129" t="s">
        <v>324</v>
      </c>
      <c r="B129" t="s">
        <v>317</v>
      </c>
      <c r="C129" t="s">
        <v>90</v>
      </c>
    </row>
    <row r="130" spans="1:3" x14ac:dyDescent="0.25">
      <c r="A130" t="s">
        <v>321</v>
      </c>
      <c r="B130" t="s">
        <v>319</v>
      </c>
      <c r="C130" t="s">
        <v>320</v>
      </c>
    </row>
    <row r="131" spans="1:3" x14ac:dyDescent="0.25">
      <c r="A131" t="s">
        <v>318</v>
      </c>
      <c r="B131" t="s">
        <v>319</v>
      </c>
      <c r="C131" t="s">
        <v>320</v>
      </c>
    </row>
    <row r="132" spans="1:3" x14ac:dyDescent="0.25">
      <c r="A132" t="s">
        <v>94</v>
      </c>
      <c r="B132" t="s">
        <v>92</v>
      </c>
      <c r="C132" t="s">
        <v>90</v>
      </c>
    </row>
    <row r="133" spans="1:3" x14ac:dyDescent="0.25">
      <c r="A133" t="s">
        <v>91</v>
      </c>
      <c r="B133" t="s">
        <v>92</v>
      </c>
      <c r="C133" t="s">
        <v>90</v>
      </c>
    </row>
    <row r="134" spans="1:3" x14ac:dyDescent="0.25">
      <c r="A134" t="s">
        <v>95</v>
      </c>
      <c r="B134" t="s">
        <v>89</v>
      </c>
      <c r="C134" t="s">
        <v>90</v>
      </c>
    </row>
    <row r="135" spans="1:3" x14ac:dyDescent="0.25">
      <c r="A135" t="s">
        <v>88</v>
      </c>
      <c r="B135" t="s">
        <v>89</v>
      </c>
      <c r="C135" t="s">
        <v>90</v>
      </c>
    </row>
    <row r="136" spans="1:3" x14ac:dyDescent="0.25">
      <c r="A136" t="s">
        <v>75</v>
      </c>
      <c r="B136" t="s">
        <v>76</v>
      </c>
      <c r="C136" t="s">
        <v>77</v>
      </c>
    </row>
    <row r="137" spans="1:3" x14ac:dyDescent="0.25">
      <c r="A137" t="s">
        <v>114</v>
      </c>
      <c r="B137" t="s">
        <v>82</v>
      </c>
      <c r="C137" t="s">
        <v>83</v>
      </c>
    </row>
    <row r="138" spans="1:3" x14ac:dyDescent="0.25">
      <c r="A138" t="s">
        <v>352</v>
      </c>
      <c r="B138" t="s">
        <v>317</v>
      </c>
      <c r="C138" t="s">
        <v>90</v>
      </c>
    </row>
    <row r="139" spans="1:3" x14ac:dyDescent="0.25">
      <c r="A139" t="s">
        <v>370</v>
      </c>
      <c r="B139" t="s">
        <v>317</v>
      </c>
      <c r="C139" t="s">
        <v>90</v>
      </c>
    </row>
    <row r="140" spans="1:3" x14ac:dyDescent="0.25">
      <c r="A140" t="s">
        <v>371</v>
      </c>
      <c r="B140" t="s">
        <v>317</v>
      </c>
      <c r="C140" t="s">
        <v>90</v>
      </c>
    </row>
    <row r="141" spans="1:3" x14ac:dyDescent="0.25">
      <c r="A141" t="s">
        <v>299</v>
      </c>
      <c r="B141" t="s">
        <v>270</v>
      </c>
      <c r="C141" t="s">
        <v>271</v>
      </c>
    </row>
    <row r="142" spans="1:3" x14ac:dyDescent="0.25">
      <c r="A142" t="s">
        <v>293</v>
      </c>
      <c r="B142" t="s">
        <v>294</v>
      </c>
      <c r="C142" t="s">
        <v>295</v>
      </c>
    </row>
    <row r="143" spans="1:3" x14ac:dyDescent="0.25">
      <c r="A143" t="s">
        <v>296</v>
      </c>
      <c r="B143" t="s">
        <v>297</v>
      </c>
      <c r="C143" t="s">
        <v>298</v>
      </c>
    </row>
    <row r="144" spans="1:3" x14ac:dyDescent="0.25">
      <c r="A144" t="s">
        <v>300</v>
      </c>
      <c r="B144" t="s">
        <v>291</v>
      </c>
      <c r="C144" t="s">
        <v>292</v>
      </c>
    </row>
    <row r="145" spans="1:3" x14ac:dyDescent="0.25">
      <c r="A145" t="s">
        <v>269</v>
      </c>
      <c r="B145" t="s">
        <v>270</v>
      </c>
      <c r="C145" t="s">
        <v>271</v>
      </c>
    </row>
    <row r="146" spans="1:3" x14ac:dyDescent="0.25">
      <c r="A146" t="s">
        <v>301</v>
      </c>
      <c r="B146" t="s">
        <v>294</v>
      </c>
      <c r="C146" t="s">
        <v>295</v>
      </c>
    </row>
    <row r="147" spans="1:3" x14ac:dyDescent="0.25">
      <c r="A147" t="s">
        <v>302</v>
      </c>
      <c r="B147" t="s">
        <v>297</v>
      </c>
      <c r="C147" t="s">
        <v>298</v>
      </c>
    </row>
    <row r="148" spans="1:3" x14ac:dyDescent="0.25">
      <c r="A148" t="s">
        <v>303</v>
      </c>
      <c r="B148" t="s">
        <v>291</v>
      </c>
      <c r="C148" t="s">
        <v>292</v>
      </c>
    </row>
    <row r="149" spans="1:3" x14ac:dyDescent="0.25">
      <c r="A149" t="s">
        <v>290</v>
      </c>
      <c r="B149" t="s">
        <v>291</v>
      </c>
      <c r="C149" t="s">
        <v>292</v>
      </c>
    </row>
    <row r="150" spans="1:3" x14ac:dyDescent="0.25">
      <c r="A150" t="s">
        <v>275</v>
      </c>
      <c r="B150" t="s">
        <v>276</v>
      </c>
      <c r="C150" t="s">
        <v>277</v>
      </c>
    </row>
    <row r="151" spans="1:3" x14ac:dyDescent="0.25">
      <c r="A151" t="s">
        <v>272</v>
      </c>
      <c r="B151" t="s">
        <v>273</v>
      </c>
      <c r="C151" t="s">
        <v>274</v>
      </c>
    </row>
    <row r="152" spans="1:3" x14ac:dyDescent="0.25">
      <c r="A152" t="s">
        <v>278</v>
      </c>
      <c r="B152" t="s">
        <v>279</v>
      </c>
      <c r="C152" t="s">
        <v>280</v>
      </c>
    </row>
    <row r="153" spans="1:3" x14ac:dyDescent="0.25">
      <c r="A153" t="s">
        <v>281</v>
      </c>
      <c r="B153" t="s">
        <v>282</v>
      </c>
      <c r="C153" t="s">
        <v>283</v>
      </c>
    </row>
    <row r="154" spans="1:3" x14ac:dyDescent="0.25">
      <c r="A154" t="s">
        <v>284</v>
      </c>
      <c r="B154" t="s">
        <v>285</v>
      </c>
      <c r="C154" t="s">
        <v>286</v>
      </c>
    </row>
    <row r="155" spans="1:3" x14ac:dyDescent="0.25">
      <c r="A155" t="s">
        <v>287</v>
      </c>
      <c r="B155" t="s">
        <v>288</v>
      </c>
      <c r="C155" t="s">
        <v>289</v>
      </c>
    </row>
    <row r="156" spans="1:3" x14ac:dyDescent="0.25">
      <c r="A156" t="s">
        <v>148</v>
      </c>
      <c r="B156" t="s">
        <v>149</v>
      </c>
      <c r="C156" t="s">
        <v>150</v>
      </c>
    </row>
    <row r="157" spans="1:3" x14ac:dyDescent="0.25">
      <c r="A157" t="s">
        <v>151</v>
      </c>
      <c r="B157" t="s">
        <v>152</v>
      </c>
      <c r="C157" t="s">
        <v>153</v>
      </c>
    </row>
    <row r="158" spans="1:3" x14ac:dyDescent="0.25">
      <c r="A158" t="s">
        <v>154</v>
      </c>
      <c r="B158" t="s">
        <v>155</v>
      </c>
      <c r="C158" t="s">
        <v>156</v>
      </c>
    </row>
    <row r="159" spans="1:3" x14ac:dyDescent="0.25">
      <c r="A159" t="s">
        <v>157</v>
      </c>
      <c r="B159" t="s">
        <v>158</v>
      </c>
      <c r="C159" t="s">
        <v>159</v>
      </c>
    </row>
    <row r="160" spans="1:3" x14ac:dyDescent="0.25">
      <c r="A160" t="s">
        <v>160</v>
      </c>
      <c r="B160" t="s">
        <v>161</v>
      </c>
      <c r="C160" t="s">
        <v>156</v>
      </c>
    </row>
    <row r="161" spans="1:3" x14ac:dyDescent="0.25">
      <c r="A161" t="s">
        <v>137</v>
      </c>
      <c r="B161" t="s">
        <v>118</v>
      </c>
      <c r="C161" t="s">
        <v>119</v>
      </c>
    </row>
    <row r="162" spans="1:3" x14ac:dyDescent="0.25">
      <c r="A162" t="s">
        <v>138</v>
      </c>
      <c r="B162" t="s">
        <v>121</v>
      </c>
      <c r="C162" t="s">
        <v>122</v>
      </c>
    </row>
    <row r="163" spans="1:3" x14ac:dyDescent="0.25">
      <c r="A163" t="s">
        <v>139</v>
      </c>
      <c r="B163" t="s">
        <v>140</v>
      </c>
      <c r="C163" t="s">
        <v>141</v>
      </c>
    </row>
    <row r="164" spans="1:3" x14ac:dyDescent="0.25">
      <c r="A164" t="s">
        <v>142</v>
      </c>
      <c r="B164" t="s">
        <v>143</v>
      </c>
      <c r="C164" t="s">
        <v>144</v>
      </c>
    </row>
    <row r="165" spans="1:3" x14ac:dyDescent="0.25">
      <c r="A165" t="s">
        <v>145</v>
      </c>
      <c r="B165" t="s">
        <v>146</v>
      </c>
      <c r="C165" t="s">
        <v>147</v>
      </c>
    </row>
    <row r="166" spans="1:3" x14ac:dyDescent="0.25">
      <c r="A166" t="s">
        <v>177</v>
      </c>
      <c r="B166" t="s">
        <v>149</v>
      </c>
      <c r="C166" t="s">
        <v>150</v>
      </c>
    </row>
    <row r="167" spans="1:3" x14ac:dyDescent="0.25">
      <c r="A167" t="s">
        <v>178</v>
      </c>
      <c r="B167" t="s">
        <v>152</v>
      </c>
      <c r="C167" t="s">
        <v>153</v>
      </c>
    </row>
    <row r="168" spans="1:3" x14ac:dyDescent="0.25">
      <c r="A168" t="s">
        <v>179</v>
      </c>
      <c r="B168" t="s">
        <v>155</v>
      </c>
      <c r="C168" t="s">
        <v>156</v>
      </c>
    </row>
    <row r="169" spans="1:3" x14ac:dyDescent="0.25">
      <c r="A169" t="s">
        <v>175</v>
      </c>
      <c r="B169" t="s">
        <v>158</v>
      </c>
      <c r="C169" t="s">
        <v>159</v>
      </c>
    </row>
    <row r="170" spans="1:3" x14ac:dyDescent="0.25">
      <c r="A170" t="s">
        <v>176</v>
      </c>
      <c r="B170" t="s">
        <v>161</v>
      </c>
      <c r="C170" t="s">
        <v>156</v>
      </c>
    </row>
    <row r="171" spans="1:3" x14ac:dyDescent="0.25">
      <c r="A171" t="s">
        <v>117</v>
      </c>
      <c r="B171" t="s">
        <v>118</v>
      </c>
      <c r="C171" t="s">
        <v>119</v>
      </c>
    </row>
    <row r="172" spans="1:3" x14ac:dyDescent="0.25">
      <c r="A172" t="s">
        <v>120</v>
      </c>
      <c r="B172" t="s">
        <v>121</v>
      </c>
      <c r="C172" t="s">
        <v>122</v>
      </c>
    </row>
    <row r="173" spans="1:3" x14ac:dyDescent="0.25">
      <c r="A173" t="s">
        <v>353</v>
      </c>
      <c r="B173" t="s">
        <v>149</v>
      </c>
      <c r="C173" t="s">
        <v>150</v>
      </c>
    </row>
    <row r="174" spans="1:3" x14ac:dyDescent="0.25">
      <c r="A174" t="s">
        <v>354</v>
      </c>
      <c r="B174" t="s">
        <v>152</v>
      </c>
      <c r="C174" t="s">
        <v>153</v>
      </c>
    </row>
    <row r="175" spans="1:3" x14ac:dyDescent="0.25">
      <c r="A175" t="s">
        <v>355</v>
      </c>
      <c r="B175" t="s">
        <v>155</v>
      </c>
      <c r="C175" t="s">
        <v>156</v>
      </c>
    </row>
    <row r="176" spans="1:3" x14ac:dyDescent="0.25">
      <c r="A176" t="s">
        <v>356</v>
      </c>
      <c r="B176" t="s">
        <v>158</v>
      </c>
      <c r="C176" t="s">
        <v>159</v>
      </c>
    </row>
    <row r="177" spans="1:3" x14ac:dyDescent="0.25">
      <c r="A177" t="s">
        <v>357</v>
      </c>
      <c r="B177" t="s">
        <v>161</v>
      </c>
      <c r="C177" t="s">
        <v>156</v>
      </c>
    </row>
    <row r="178" spans="1:3" x14ac:dyDescent="0.25">
      <c r="A178" t="s">
        <v>358</v>
      </c>
      <c r="B178" t="s">
        <v>118</v>
      </c>
      <c r="C178" t="s">
        <v>119</v>
      </c>
    </row>
    <row r="179" spans="1:3" x14ac:dyDescent="0.25">
      <c r="A179" t="s">
        <v>359</v>
      </c>
      <c r="B179" t="s">
        <v>121</v>
      </c>
      <c r="C179" t="s">
        <v>122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1DDCE-9D0F-4D50-A76A-F1E52C43E57D}">
  <sheetPr codeName="Hoja5"/>
  <dimension ref="A1:C14"/>
  <sheetViews>
    <sheetView workbookViewId="0"/>
  </sheetViews>
  <sheetFormatPr baseColWidth="10" defaultRowHeight="15" x14ac:dyDescent="0.25"/>
  <cols>
    <col min="1" max="1" width="45.28515625" bestFit="1" customWidth="1"/>
  </cols>
  <sheetData>
    <row r="1" spans="1:3" x14ac:dyDescent="0.25">
      <c r="A1" t="s">
        <v>1</v>
      </c>
      <c r="B1" t="s">
        <v>0</v>
      </c>
      <c r="C1" t="s">
        <v>2</v>
      </c>
    </row>
    <row r="2" spans="1:3" x14ac:dyDescent="0.25">
      <c r="A2" t="s">
        <v>16</v>
      </c>
      <c r="B2" t="s">
        <v>15</v>
      </c>
      <c r="C2">
        <v>1000000</v>
      </c>
    </row>
    <row r="3" spans="1:3" x14ac:dyDescent="0.25">
      <c r="A3" t="s">
        <v>18</v>
      </c>
      <c r="B3" t="s">
        <v>17</v>
      </c>
      <c r="C3">
        <v>1000001</v>
      </c>
    </row>
    <row r="4" spans="1:3" x14ac:dyDescent="0.25">
      <c r="A4" t="s">
        <v>20</v>
      </c>
      <c r="B4" t="s">
        <v>19</v>
      </c>
      <c r="C4">
        <v>1000002</v>
      </c>
    </row>
    <row r="5" spans="1:3" x14ac:dyDescent="0.25">
      <c r="A5" t="s">
        <v>22</v>
      </c>
      <c r="B5" t="s">
        <v>21</v>
      </c>
      <c r="C5">
        <v>1000003</v>
      </c>
    </row>
    <row r="6" spans="1:3" x14ac:dyDescent="0.25">
      <c r="A6" t="s">
        <v>26</v>
      </c>
      <c r="B6" t="s">
        <v>23</v>
      </c>
      <c r="C6">
        <v>1000004</v>
      </c>
    </row>
    <row r="7" spans="1:3" x14ac:dyDescent="0.25">
      <c r="A7" t="s">
        <v>27</v>
      </c>
      <c r="B7" t="s">
        <v>24</v>
      </c>
      <c r="C7">
        <v>1000005</v>
      </c>
    </row>
    <row r="8" spans="1:3" x14ac:dyDescent="0.25">
      <c r="A8" t="s">
        <v>28</v>
      </c>
      <c r="B8" t="s">
        <v>25</v>
      </c>
      <c r="C8">
        <v>1000006</v>
      </c>
    </row>
    <row r="9" spans="1:3" x14ac:dyDescent="0.25">
      <c r="A9" t="s">
        <v>29</v>
      </c>
      <c r="B9" t="s">
        <v>30</v>
      </c>
      <c r="C9">
        <v>1000007</v>
      </c>
    </row>
    <row r="10" spans="1:3" x14ac:dyDescent="0.25">
      <c r="A10" t="s">
        <v>31</v>
      </c>
      <c r="B10" t="s">
        <v>32</v>
      </c>
      <c r="C10">
        <v>1000008</v>
      </c>
    </row>
    <row r="11" spans="1:3" x14ac:dyDescent="0.25">
      <c r="A11" t="s">
        <v>33</v>
      </c>
      <c r="B11" t="s">
        <v>34</v>
      </c>
      <c r="C11">
        <v>1000009</v>
      </c>
    </row>
    <row r="12" spans="1:3" x14ac:dyDescent="0.25">
      <c r="A12" t="s">
        <v>36</v>
      </c>
      <c r="B12" t="s">
        <v>37</v>
      </c>
      <c r="C12">
        <v>1000010</v>
      </c>
    </row>
    <row r="13" spans="1:3" x14ac:dyDescent="0.25">
      <c r="A13" t="s">
        <v>45</v>
      </c>
      <c r="B13" t="s">
        <v>46</v>
      </c>
      <c r="C13">
        <v>1000011</v>
      </c>
    </row>
    <row r="14" spans="1:3" x14ac:dyDescent="0.25">
      <c r="A14" t="s">
        <v>47</v>
      </c>
      <c r="B14" t="s">
        <v>48</v>
      </c>
      <c r="C14">
        <v>1000012</v>
      </c>
    </row>
  </sheetData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1053914-2D12-4ABD-B489-5FB78DCCBD7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06064554</vt:lpstr>
      <vt:lpstr>SQL ODOO</vt:lpstr>
      <vt:lpstr>QUERY</vt:lpstr>
      <vt:lpstr>Relación de códigos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Patiño</dc:creator>
  <cp:lastModifiedBy>Tomás Pascual</cp:lastModifiedBy>
  <dcterms:created xsi:type="dcterms:W3CDTF">2021-07-21T08:06:05Z</dcterms:created>
  <dcterms:modified xsi:type="dcterms:W3CDTF">2023-03-01T16:16:52Z</dcterms:modified>
</cp:coreProperties>
</file>